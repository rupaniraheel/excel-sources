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1.1 Data" sheetId="2" state="visible" r:id="rId2"/>
    <sheet xmlns:r="http://schemas.openxmlformats.org/officeDocument/2006/relationships" name="1.1 Report" sheetId="3" state="visible" r:id="rId3"/>
    <sheet xmlns:r="http://schemas.openxmlformats.org/officeDocument/2006/relationships" name="1.2 Data" sheetId="4" state="visible" r:id="rId4"/>
    <sheet xmlns:r="http://schemas.openxmlformats.org/officeDocument/2006/relationships" name="1.2 Report" sheetId="5" state="visible" r:id="rId5"/>
    <sheet xmlns:r="http://schemas.openxmlformats.org/officeDocument/2006/relationships" name="1.3 Data" sheetId="6" state="visible" r:id="rId6"/>
    <sheet xmlns:r="http://schemas.openxmlformats.org/officeDocument/2006/relationships" name="1.3 Report" sheetId="7" state="visible" r:id="rId7"/>
    <sheet xmlns:r="http://schemas.openxmlformats.org/officeDocument/2006/relationships" name="1.4 Data" sheetId="8" state="visible" r:id="rId8"/>
    <sheet xmlns:r="http://schemas.openxmlformats.org/officeDocument/2006/relationships" name="1.4 Report" sheetId="9" state="visible" r:id="rId9"/>
    <sheet xmlns:r="http://schemas.openxmlformats.org/officeDocument/2006/relationships" name="1.5 Data" sheetId="10" state="visible" r:id="rId10"/>
    <sheet xmlns:r="http://schemas.openxmlformats.org/officeDocument/2006/relationships" name="1.5 Report" sheetId="11" state="visible" r:id="rId11"/>
    <sheet xmlns:r="http://schemas.openxmlformats.org/officeDocument/2006/relationships" name="1.6 Data" sheetId="12" state="visible" r:id="rId12"/>
    <sheet xmlns:r="http://schemas.openxmlformats.org/officeDocument/2006/relationships" name="1.6 Report" sheetId="13" state="visible" r:id="rId13"/>
    <sheet xmlns:r="http://schemas.openxmlformats.org/officeDocument/2006/relationships" name="1.7 Data" sheetId="14" state="visible" r:id="rId14"/>
    <sheet xmlns:r="http://schemas.openxmlformats.org/officeDocument/2006/relationships" name="1.7 Report" sheetId="15" state="visible" r:id="rId15"/>
    <sheet xmlns:r="http://schemas.openxmlformats.org/officeDocument/2006/relationships" name="1.8 Data" sheetId="16" state="visible" r:id="rId16"/>
    <sheet xmlns:r="http://schemas.openxmlformats.org/officeDocument/2006/relationships" name="1.8 Report" sheetId="17" state="visible" r:id="rId17"/>
    <sheet xmlns:r="http://schemas.openxmlformats.org/officeDocument/2006/relationships" name="1.9 Data" sheetId="18" state="visible" r:id="rId18"/>
    <sheet xmlns:r="http://schemas.openxmlformats.org/officeDocument/2006/relationships" name="1.9 Report" sheetId="19" state="visible" r:id="rId19"/>
    <sheet xmlns:r="http://schemas.openxmlformats.org/officeDocument/2006/relationships" name="1.10 Data" sheetId="20" state="visible" r:id="rId20"/>
    <sheet xmlns:r="http://schemas.openxmlformats.org/officeDocument/2006/relationships" name="1.10 Report" sheetId="21" state="visible" r:id="rId21"/>
    <sheet xmlns:r="http://schemas.openxmlformats.org/officeDocument/2006/relationships" name="1.11 Data" sheetId="22" state="visible" r:id="rId22"/>
    <sheet xmlns:r="http://schemas.openxmlformats.org/officeDocument/2006/relationships" name="1.11 Report" sheetId="23" state="visible" r:id="rId23"/>
    <sheet xmlns:r="http://schemas.openxmlformats.org/officeDocument/2006/relationships" name="1.12 Data" sheetId="24" state="visible" r:id="rId24"/>
    <sheet xmlns:r="http://schemas.openxmlformats.org/officeDocument/2006/relationships" name="1.12 Report" sheetId="25" state="visible" r:id="rId25"/>
    <sheet xmlns:r="http://schemas.openxmlformats.org/officeDocument/2006/relationships" name="1.13 Data" sheetId="26" state="visible" r:id="rId26"/>
    <sheet xmlns:r="http://schemas.openxmlformats.org/officeDocument/2006/relationships" name="1.13 Report" sheetId="27" state="visible" r:id="rId27"/>
    <sheet xmlns:r="http://schemas.openxmlformats.org/officeDocument/2006/relationships" name="1.14 Data" sheetId="28" state="visible" r:id="rId28"/>
    <sheet xmlns:r="http://schemas.openxmlformats.org/officeDocument/2006/relationships" name="1.14 Report" sheetId="29" state="visible" r:id="rId29"/>
    <sheet xmlns:r="http://schemas.openxmlformats.org/officeDocument/2006/relationships" name="1.15 Data" sheetId="30" state="visible" r:id="rId30"/>
    <sheet xmlns:r="http://schemas.openxmlformats.org/officeDocument/2006/relationships" name="1.15 Report" sheetId="31" state="visible" r:id="rId31"/>
    <sheet xmlns:r="http://schemas.openxmlformats.org/officeDocument/2006/relationships" name="1.16 Data" sheetId="32" state="visible" r:id="rId32"/>
    <sheet xmlns:r="http://schemas.openxmlformats.org/officeDocument/2006/relationships" name="1.16 Report" sheetId="33" state="visible" r:id="rId33"/>
    <sheet xmlns:r="http://schemas.openxmlformats.org/officeDocument/2006/relationships" name="1.17 Data" sheetId="34" state="visible" r:id="rId34"/>
    <sheet xmlns:r="http://schemas.openxmlformats.org/officeDocument/2006/relationships" name="1.17 Report" sheetId="35" state="visible" r:id="rId35"/>
    <sheet xmlns:r="http://schemas.openxmlformats.org/officeDocument/2006/relationships" name="2.1 Data" sheetId="36" state="visible" r:id="rId36"/>
    <sheet xmlns:r="http://schemas.openxmlformats.org/officeDocument/2006/relationships" name="2.1 Report" sheetId="37" state="visible" r:id="rId37"/>
    <sheet xmlns:r="http://schemas.openxmlformats.org/officeDocument/2006/relationships" name="2.2 Data" sheetId="38" state="visible" r:id="rId38"/>
    <sheet xmlns:r="http://schemas.openxmlformats.org/officeDocument/2006/relationships" name="2.2 Report" sheetId="39" state="visible" r:id="rId39"/>
    <sheet xmlns:r="http://schemas.openxmlformats.org/officeDocument/2006/relationships" name="2.3 Data" sheetId="40" state="visible" r:id="rId40"/>
    <sheet xmlns:r="http://schemas.openxmlformats.org/officeDocument/2006/relationships" name="2.3 Report" sheetId="41" state="visible" r:id="rId41"/>
    <sheet xmlns:r="http://schemas.openxmlformats.org/officeDocument/2006/relationships" name="2.4 Data" sheetId="42" state="visible" r:id="rId42"/>
    <sheet xmlns:r="http://schemas.openxmlformats.org/officeDocument/2006/relationships" name="2.4 Report" sheetId="43" state="visible" r:id="rId43"/>
    <sheet xmlns:r="http://schemas.openxmlformats.org/officeDocument/2006/relationships" name="2.5 Data" sheetId="44" state="visible" r:id="rId44"/>
    <sheet xmlns:r="http://schemas.openxmlformats.org/officeDocument/2006/relationships" name="2.5 Report" sheetId="45" state="visible" r:id="rId45"/>
    <sheet xmlns:r="http://schemas.openxmlformats.org/officeDocument/2006/relationships" name="2.6 Data" sheetId="46" state="visible" r:id="rId46"/>
    <sheet xmlns:r="http://schemas.openxmlformats.org/officeDocument/2006/relationships" name="2.6 Report" sheetId="47" state="visible" r:id="rId47"/>
    <sheet xmlns:r="http://schemas.openxmlformats.org/officeDocument/2006/relationships" name="2.7 Data" sheetId="48" state="visible" r:id="rId48"/>
    <sheet xmlns:r="http://schemas.openxmlformats.org/officeDocument/2006/relationships" name="2.7 Report" sheetId="49" state="visible" r:id="rId49"/>
    <sheet xmlns:r="http://schemas.openxmlformats.org/officeDocument/2006/relationships" name="2.8 Data" sheetId="50" state="visible" r:id="rId50"/>
    <sheet xmlns:r="http://schemas.openxmlformats.org/officeDocument/2006/relationships" name="2.8 Report" sheetId="51" state="visible" r:id="rId51"/>
    <sheet xmlns:r="http://schemas.openxmlformats.org/officeDocument/2006/relationships" name="2.9 Data" sheetId="52" state="visible" r:id="rId52"/>
    <sheet xmlns:r="http://schemas.openxmlformats.org/officeDocument/2006/relationships" name="2.9 Report" sheetId="53" state="visible" r:id="rId53"/>
    <sheet xmlns:r="http://schemas.openxmlformats.org/officeDocument/2006/relationships" name="2.10 Data" sheetId="54" state="visible" r:id="rId54"/>
    <sheet xmlns:r="http://schemas.openxmlformats.org/officeDocument/2006/relationships" name="2.10 Report" sheetId="55" state="visible" r:id="rId55"/>
    <sheet xmlns:r="http://schemas.openxmlformats.org/officeDocument/2006/relationships" name="2.11 Data" sheetId="56" state="visible" r:id="rId56"/>
    <sheet xmlns:r="http://schemas.openxmlformats.org/officeDocument/2006/relationships" name="2.11 Report" sheetId="57" state="visible" r:id="rId57"/>
    <sheet xmlns:r="http://schemas.openxmlformats.org/officeDocument/2006/relationships" name="2.12 Data" sheetId="58" state="visible" r:id="rId58"/>
    <sheet xmlns:r="http://schemas.openxmlformats.org/officeDocument/2006/relationships" name="2.12 Report" sheetId="59" state="visible" r:id="rId59"/>
    <sheet xmlns:r="http://schemas.openxmlformats.org/officeDocument/2006/relationships" name="2.13 Data" sheetId="60" state="visible" r:id="rId60"/>
    <sheet xmlns:r="http://schemas.openxmlformats.org/officeDocument/2006/relationships" name="2.13 Report" sheetId="61" state="visible" r:id="rId61"/>
    <sheet xmlns:r="http://schemas.openxmlformats.org/officeDocument/2006/relationships" name="2.14 Data" sheetId="62" state="visible" r:id="rId62"/>
    <sheet xmlns:r="http://schemas.openxmlformats.org/officeDocument/2006/relationships" name="2.14 Report" sheetId="63" state="visible" r:id="rId63"/>
    <sheet xmlns:r="http://schemas.openxmlformats.org/officeDocument/2006/relationships" name="2.15 Data" sheetId="64" state="visible" r:id="rId64"/>
    <sheet xmlns:r="http://schemas.openxmlformats.org/officeDocument/2006/relationships" name="2.15 Report" sheetId="65" state="visible" r:id="rId65"/>
    <sheet xmlns:r="http://schemas.openxmlformats.org/officeDocument/2006/relationships" name="3.1 Data" sheetId="66" state="visible" r:id="rId66"/>
    <sheet xmlns:r="http://schemas.openxmlformats.org/officeDocument/2006/relationships" name="3.1 Report" sheetId="67" state="visible" r:id="rId67"/>
    <sheet xmlns:r="http://schemas.openxmlformats.org/officeDocument/2006/relationships" name="3.2 Data" sheetId="68" state="visible" r:id="rId68"/>
    <sheet xmlns:r="http://schemas.openxmlformats.org/officeDocument/2006/relationships" name="3.2 Report" sheetId="69" state="visible" r:id="rId69"/>
    <sheet xmlns:r="http://schemas.openxmlformats.org/officeDocument/2006/relationships" name="3.3 Data" sheetId="70" state="visible" r:id="rId70"/>
    <sheet xmlns:r="http://schemas.openxmlformats.org/officeDocument/2006/relationships" name="3.3 Report" sheetId="71" state="visible" r:id="rId71"/>
    <sheet xmlns:r="http://schemas.openxmlformats.org/officeDocument/2006/relationships" name="3.4 Data" sheetId="72" state="visible" r:id="rId72"/>
    <sheet xmlns:r="http://schemas.openxmlformats.org/officeDocument/2006/relationships" name="3.4 Report" sheetId="73" state="visible" r:id="rId73"/>
    <sheet xmlns:r="http://schemas.openxmlformats.org/officeDocument/2006/relationships" name="3.5 Data" sheetId="74" state="visible" r:id="rId74"/>
    <sheet xmlns:r="http://schemas.openxmlformats.org/officeDocument/2006/relationships" name="3.5 Report" sheetId="75" state="visible" r:id="rId75"/>
    <sheet xmlns:r="http://schemas.openxmlformats.org/officeDocument/2006/relationships" name="3.6 Data" sheetId="76" state="visible" r:id="rId76"/>
    <sheet xmlns:r="http://schemas.openxmlformats.org/officeDocument/2006/relationships" name="3.6 Report" sheetId="77" state="visible" r:id="rId77"/>
    <sheet xmlns:r="http://schemas.openxmlformats.org/officeDocument/2006/relationships" name="3.7 Data" sheetId="78" state="visible" r:id="rId78"/>
    <sheet xmlns:r="http://schemas.openxmlformats.org/officeDocument/2006/relationships" name="3.7 Report" sheetId="79" state="visible" r:id="rId79"/>
    <sheet xmlns:r="http://schemas.openxmlformats.org/officeDocument/2006/relationships" name="3.8 Data" sheetId="80" state="visible" r:id="rId80"/>
    <sheet xmlns:r="http://schemas.openxmlformats.org/officeDocument/2006/relationships" name="3.8 Report" sheetId="81" state="visible" r:id="rId81"/>
    <sheet xmlns:r="http://schemas.openxmlformats.org/officeDocument/2006/relationships" name="3.9 Data" sheetId="82" state="visible" r:id="rId82"/>
    <sheet xmlns:r="http://schemas.openxmlformats.org/officeDocument/2006/relationships" name="3.9 Report" sheetId="83" state="visible" r:id="rId83"/>
    <sheet xmlns:r="http://schemas.openxmlformats.org/officeDocument/2006/relationships" name="3.10 Data" sheetId="84" state="visible" r:id="rId84"/>
    <sheet xmlns:r="http://schemas.openxmlformats.org/officeDocument/2006/relationships" name="3.10 Report" sheetId="85" state="visible" r:id="rId85"/>
    <sheet xmlns:r="http://schemas.openxmlformats.org/officeDocument/2006/relationships" name="3.11 Data" sheetId="86" state="visible" r:id="rId86"/>
    <sheet xmlns:r="http://schemas.openxmlformats.org/officeDocument/2006/relationships" name="3.11 Report" sheetId="87" state="visible" r:id="rId87"/>
    <sheet xmlns:r="http://schemas.openxmlformats.org/officeDocument/2006/relationships" name="3.12 Data" sheetId="88" state="visible" r:id="rId88"/>
    <sheet xmlns:r="http://schemas.openxmlformats.org/officeDocument/2006/relationships" name="3.12 Report" sheetId="89" state="visible" r:id="rId89"/>
    <sheet xmlns:r="http://schemas.openxmlformats.org/officeDocument/2006/relationships" name="3.13 Data" sheetId="90" state="visible" r:id="rId90"/>
    <sheet xmlns:r="http://schemas.openxmlformats.org/officeDocument/2006/relationships" name="3.13 Report" sheetId="91" state="visible" r:id="rId91"/>
    <sheet xmlns:r="http://schemas.openxmlformats.org/officeDocument/2006/relationships" name="3.14 Data" sheetId="92" state="visible" r:id="rId92"/>
    <sheet xmlns:r="http://schemas.openxmlformats.org/officeDocument/2006/relationships" name="3.14 Report" sheetId="93" state="visible" r:id="rId93"/>
    <sheet xmlns:r="http://schemas.openxmlformats.org/officeDocument/2006/relationships" name="3.15 Data" sheetId="94" state="visible" r:id="rId94"/>
    <sheet xmlns:r="http://schemas.openxmlformats.org/officeDocument/2006/relationships" name="3.15 Report" sheetId="95" state="visible" r:id="rId95"/>
    <sheet xmlns:r="http://schemas.openxmlformats.org/officeDocument/2006/relationships" name="3.16 Data" sheetId="96" state="visible" r:id="rId96"/>
    <sheet xmlns:r="http://schemas.openxmlformats.org/officeDocument/2006/relationships" name="3.16 Report" sheetId="97" state="visible" r:id="rId97"/>
    <sheet xmlns:r="http://schemas.openxmlformats.org/officeDocument/2006/relationships" name="4.1 Data" sheetId="98" state="visible" r:id="rId98"/>
    <sheet xmlns:r="http://schemas.openxmlformats.org/officeDocument/2006/relationships" name="4.1 Report" sheetId="99" state="visible" r:id="rId99"/>
    <sheet xmlns:r="http://schemas.openxmlformats.org/officeDocument/2006/relationships" name="4.2 Data" sheetId="100" state="visible" r:id="rId100"/>
    <sheet xmlns:r="http://schemas.openxmlformats.org/officeDocument/2006/relationships" name="4.2 Report" sheetId="101" state="visible" r:id="rId101"/>
    <sheet xmlns:r="http://schemas.openxmlformats.org/officeDocument/2006/relationships" name="4.3 Data" sheetId="102" state="visible" r:id="rId102"/>
    <sheet xmlns:r="http://schemas.openxmlformats.org/officeDocument/2006/relationships" name="4.3 Report" sheetId="103" state="visible" r:id="rId103"/>
    <sheet xmlns:r="http://schemas.openxmlformats.org/officeDocument/2006/relationships" name="4.4 Data" sheetId="104" state="visible" r:id="rId104"/>
    <sheet xmlns:r="http://schemas.openxmlformats.org/officeDocument/2006/relationships" name="4.4 Report" sheetId="105" state="visible" r:id="rId105"/>
    <sheet xmlns:r="http://schemas.openxmlformats.org/officeDocument/2006/relationships" name="4.5 Data" sheetId="106" state="visible" r:id="rId106"/>
    <sheet xmlns:r="http://schemas.openxmlformats.org/officeDocument/2006/relationships" name="4.5 Report" sheetId="107" state="visible" r:id="rId107"/>
    <sheet xmlns:r="http://schemas.openxmlformats.org/officeDocument/2006/relationships" name="4.6 Data" sheetId="108" state="visible" r:id="rId108"/>
    <sheet xmlns:r="http://schemas.openxmlformats.org/officeDocument/2006/relationships" name="4.6 Report" sheetId="109" state="visible" r:id="rId109"/>
    <sheet xmlns:r="http://schemas.openxmlformats.org/officeDocument/2006/relationships" name="4.7 Data" sheetId="110" state="visible" r:id="rId110"/>
    <sheet xmlns:r="http://schemas.openxmlformats.org/officeDocument/2006/relationships" name="4.7 Report" sheetId="111" state="visible" r:id="rId111"/>
    <sheet xmlns:r="http://schemas.openxmlformats.org/officeDocument/2006/relationships" name="4.8 Data" sheetId="112" state="visible" r:id="rId112"/>
    <sheet xmlns:r="http://schemas.openxmlformats.org/officeDocument/2006/relationships" name="4.8 Report" sheetId="113" state="visible" r:id="rId113"/>
    <sheet xmlns:r="http://schemas.openxmlformats.org/officeDocument/2006/relationships" name="4.9 Data" sheetId="114" state="visible" r:id="rId114"/>
    <sheet xmlns:r="http://schemas.openxmlformats.org/officeDocument/2006/relationships" name="4.9 Report" sheetId="115" state="visible" r:id="rId115"/>
    <sheet xmlns:r="http://schemas.openxmlformats.org/officeDocument/2006/relationships" name="4.10 Data" sheetId="116" state="visible" r:id="rId116"/>
    <sheet xmlns:r="http://schemas.openxmlformats.org/officeDocument/2006/relationships" name="4.10 Report" sheetId="117" state="visible" r:id="rId117"/>
    <sheet xmlns:r="http://schemas.openxmlformats.org/officeDocument/2006/relationships" name="4.11 Data" sheetId="118" state="visible" r:id="rId118"/>
    <sheet xmlns:r="http://schemas.openxmlformats.org/officeDocument/2006/relationships" name="4.11 Report" sheetId="119" state="visible" r:id="rId119"/>
    <sheet xmlns:r="http://schemas.openxmlformats.org/officeDocument/2006/relationships" name="4.12 Data" sheetId="120" state="visible" r:id="rId120"/>
    <sheet xmlns:r="http://schemas.openxmlformats.org/officeDocument/2006/relationships" name="4.12 Report" sheetId="121" state="visible" r:id="rId121"/>
    <sheet xmlns:r="http://schemas.openxmlformats.org/officeDocument/2006/relationships" name="4.13 Data" sheetId="122" state="visible" r:id="rId122"/>
    <sheet xmlns:r="http://schemas.openxmlformats.org/officeDocument/2006/relationships" name="4.13 Report" sheetId="123" state="visible" r:id="rId123"/>
    <sheet xmlns:r="http://schemas.openxmlformats.org/officeDocument/2006/relationships" name="4.14 Data" sheetId="124" state="visible" r:id="rId124"/>
    <sheet xmlns:r="http://schemas.openxmlformats.org/officeDocument/2006/relationships" name="4.14 Report" sheetId="125" state="visible" r:id="rId125"/>
    <sheet xmlns:r="http://schemas.openxmlformats.org/officeDocument/2006/relationships" name="4.15 Data" sheetId="126" state="visible" r:id="rId126"/>
    <sheet xmlns:r="http://schemas.openxmlformats.org/officeDocument/2006/relationships" name="4.15 Report" sheetId="127" state="visible" r:id="rId127"/>
  </sheets>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dd-mmm-yyyy"/>
    <numFmt numFmtId="167" formatCode="0.000%"/>
    <numFmt numFmtId="168" formatCode="0.0"/>
  </numFmts>
  <fonts count="22">
    <font>
      <name val="Calibri"/>
      <family val="2"/>
      <color theme="1"/>
      <sz val="11"/>
      <scheme val="minor"/>
    </font>
    <font>
      <name val="Arial"/>
      <b val="1"/>
      <color rgb="00FFFFFF"/>
      <sz val="13"/>
    </font>
    <font>
      <name val="Arial"/>
      <i val="1"/>
      <color rgb="00444444"/>
      <sz val="9"/>
    </font>
    <font>
      <name val="Arial"/>
      <b val="1"/>
      <color rgb="001F3864"/>
      <sz val="11"/>
    </font>
    <font>
      <name val="Arial"/>
      <b val="1"/>
      <color rgb="00FFFFFF"/>
      <sz val="10"/>
    </font>
    <font>
      <name val="Arial"/>
      <sz val="10"/>
    </font>
    <font>
      <name val="Arial"/>
      <i val="1"/>
      <color rgb="00808080"/>
      <sz val="9"/>
    </font>
    <font>
      <name val="Arial"/>
      <b val="1"/>
      <color rgb="00555555"/>
      <sz val="9"/>
    </font>
    <font>
      <name val="Arial"/>
      <i val="1"/>
      <sz val="9"/>
    </font>
    <font>
      <name val="Arial"/>
      <sz val="9"/>
    </font>
    <font>
      <name val="Arial"/>
      <color rgb="000563C1"/>
      <sz val="9"/>
      <u val="single"/>
    </font>
    <font>
      <name val="Arial"/>
      <i val="1"/>
      <color rgb="00555555"/>
      <sz val="9"/>
    </font>
    <font>
      <name val="Arial"/>
      <color rgb="000000FF"/>
      <sz val="10"/>
    </font>
    <font>
      <name val="Arial"/>
      <b val="1"/>
      <color rgb="001F3864"/>
      <sz val="10"/>
    </font>
    <font>
      <name val="Arial"/>
      <i val="1"/>
      <color rgb="007F6000"/>
      <sz val="9"/>
    </font>
    <font>
      <name val="Arial"/>
      <b val="1"/>
      <color rgb="00FFFFFF"/>
      <sz val="9"/>
    </font>
    <font>
      <name val="Arial"/>
      <b val="1"/>
      <sz val="9"/>
    </font>
    <font>
      <name val="Arial"/>
      <color rgb="000000FF"/>
      <sz val="9"/>
    </font>
    <font>
      <name val="Arial"/>
      <color rgb="00C00000"/>
      <sz val="9"/>
    </font>
    <font>
      <name val="Arial"/>
      <b val="1"/>
      <sz val="10"/>
    </font>
    <font>
      <name val="Arial"/>
      <i val="1"/>
      <color rgb="00444444"/>
      <sz val="10"/>
    </font>
    <font>
      <name val="Arial"/>
      <color rgb="000563C1"/>
      <sz val="10"/>
      <u val="single"/>
    </font>
  </fonts>
  <fills count="7">
    <fill>
      <patternFill/>
    </fill>
    <fill>
      <patternFill patternType="gray125"/>
    </fill>
    <fill>
      <patternFill patternType="solid">
        <fgColor rgb="001F3864"/>
      </patternFill>
    </fill>
    <fill>
      <patternFill patternType="solid">
        <fgColor rgb="00D9E1F2"/>
      </patternFill>
    </fill>
    <fill>
      <patternFill patternType="solid">
        <fgColor rgb="00FBFBFB"/>
      </patternFill>
    </fill>
    <fill>
      <patternFill patternType="solid">
        <fgColor rgb="00FFF2CC"/>
      </patternFill>
    </fill>
    <fill>
      <patternFill patternType="solid">
        <fgColor rgb="007F6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indent="1"/>
    </xf>
    <xf numFmtId="0" fontId="2" fillId="3" borderId="0" pivotButton="0" quotePrefix="0" xfId="0"/>
    <xf numFmtId="0" fontId="20" fillId="0" borderId="0" applyAlignment="1" pivotButton="0" quotePrefix="0" xfId="0">
      <alignment vertical="center" wrapText="1"/>
    </xf>
    <xf numFmtId="0" fontId="4" fillId="2" borderId="1" applyAlignment="1" pivotButton="0" quotePrefix="0" xfId="0">
      <alignment horizontal="center" vertical="center"/>
    </xf>
    <xf numFmtId="0" fontId="13" fillId="3" borderId="1" applyAlignment="1" pivotButton="0" quotePrefix="0" xfId="0">
      <alignment vertical="center" indent="1"/>
    </xf>
    <xf numFmtId="0" fontId="19" fillId="0" borderId="1" applyAlignment="1" pivotButton="0" quotePrefix="0" xfId="0">
      <alignment horizontal="center"/>
    </xf>
    <xf numFmtId="0" fontId="5" fillId="0" borderId="1" pivotButton="0" quotePrefix="0" xfId="0"/>
    <xf numFmtId="0" fontId="21" fillId="0" borderId="1" applyAlignment="1" pivotButton="0" quotePrefix="0" xfId="0">
      <alignment horizontal="center"/>
    </xf>
    <xf numFmtId="0" fontId="3" fillId="0" borderId="0" pivotButton="0" quotePrefix="0" xfId="0"/>
    <xf numFmtId="0" fontId="4" fillId="2" borderId="1" applyAlignment="1" pivotButton="0" quotePrefix="0" xfId="0">
      <alignment horizontal="center" vertical="center" wrapText="1"/>
    </xf>
    <xf numFmtId="3" fontId="5" fillId="0" borderId="1" applyAlignment="1" pivotButton="0" quotePrefix="0" xfId="0">
      <alignment horizontal="right"/>
    </xf>
    <xf numFmtId="10" fontId="5" fillId="0" borderId="1" applyAlignment="1" pivotButton="0" quotePrefix="0" xfId="0">
      <alignment horizontal="right"/>
    </xf>
    <xf numFmtId="164" fontId="5" fillId="0" borderId="1" applyAlignment="1" pivotButton="0" quotePrefix="0" xfId="0">
      <alignment horizontal="right"/>
    </xf>
    <xf numFmtId="3" fontId="5" fillId="4" borderId="1" applyAlignment="1" pivotButton="0" quotePrefix="0" xfId="0">
      <alignment horizontal="right"/>
    </xf>
    <xf numFmtId="0" fontId="5" fillId="4" borderId="1" pivotButton="0" quotePrefix="0" xfId="0"/>
    <xf numFmtId="10" fontId="5" fillId="4" borderId="1" applyAlignment="1" pivotButton="0" quotePrefix="0" xfId="0">
      <alignment horizontal="right"/>
    </xf>
    <xf numFmtId="164" fontId="5" fillId="4" borderId="1" applyAlignment="1" pivotButton="0" quotePrefix="0" xfId="0">
      <alignment horizontal="right"/>
    </xf>
    <xf numFmtId="0" fontId="6" fillId="0" borderId="0" pivotButton="0" quotePrefix="0" xfId="0"/>
    <xf numFmtId="0" fontId="1" fillId="2" borderId="0" applyAlignment="1" pivotButton="0" quotePrefix="0" xfId="0">
      <alignment vertical="center" indent="1"/>
    </xf>
    <xf numFmtId="0" fontId="3" fillId="3" borderId="0" applyAlignment="1" pivotButton="0" quotePrefix="0" xfId="0">
      <alignment vertical="center" indent="1"/>
    </xf>
    <xf numFmtId="0" fontId="7" fillId="0" borderId="0" pivotButton="0" quotePrefix="0" xfId="0"/>
    <xf numFmtId="0" fontId="8" fillId="0" borderId="0" pivotButton="0" quotePrefix="0" xfId="0"/>
    <xf numFmtId="0" fontId="9" fillId="5" borderId="0" pivotButton="0" quotePrefix="0" xfId="0"/>
    <xf numFmtId="0" fontId="2" fillId="0" borderId="0" applyAlignment="1" pivotButton="0" quotePrefix="0" xfId="0">
      <alignment vertical="top" wrapText="1"/>
    </xf>
    <xf numFmtId="0" fontId="10" fillId="0" borderId="0" pivotButton="0" quotePrefix="0" xfId="0"/>
    <xf numFmtId="0" fontId="11" fillId="0" borderId="0" pivotButton="0" quotePrefix="0" xfId="0"/>
    <xf numFmtId="0" fontId="4" fillId="6" borderId="1" applyAlignment="1" pivotButton="0" quotePrefix="0" xfId="0">
      <alignment horizontal="center" vertical="center" wrapText="1"/>
    </xf>
    <xf numFmtId="0" fontId="12" fillId="5" borderId="1" pivotButton="0" quotePrefix="0" xfId="0"/>
    <xf numFmtId="0" fontId="13" fillId="3" borderId="1" pivotButton="0" quotePrefix="0" xfId="0"/>
    <xf numFmtId="0" fontId="0" fillId="3" borderId="1" pivotButton="0" quotePrefix="0" xfId="0"/>
    <xf numFmtId="0" fontId="0" fillId="5" borderId="1" pivotButton="0" quotePrefix="0" xfId="0"/>
    <xf numFmtId="0" fontId="14" fillId="5" borderId="0" applyAlignment="1" pivotButton="0" quotePrefix="0" xfId="0">
      <alignment vertical="center" wrapText="1" indent="1"/>
    </xf>
    <xf numFmtId="0" fontId="4" fillId="2" borderId="0" applyAlignment="1" pivotButton="0" quotePrefix="0" xfId="0">
      <alignment vertical="center" indent="1"/>
    </xf>
    <xf numFmtId="0" fontId="15" fillId="2" borderId="1" applyAlignment="1" pivotButton="0" quotePrefix="0" xfId="0">
      <alignment horizontal="center" vertical="center" wrapText="1"/>
    </xf>
    <xf numFmtId="0" fontId="16" fillId="0" borderId="1" applyAlignment="1" pivotButton="0" quotePrefix="0" xfId="0">
      <alignment horizontal="center"/>
    </xf>
    <xf numFmtId="0" fontId="16" fillId="0" borderId="1" applyAlignment="1" pivotButton="0" quotePrefix="0" xfId="0">
      <alignment vertical="top" wrapText="1"/>
    </xf>
    <xf numFmtId="0" fontId="11" fillId="0" borderId="1" applyAlignment="1" pivotButton="0" quotePrefix="0" xfId="0">
      <alignment vertical="top" wrapText="1"/>
    </xf>
    <xf numFmtId="0" fontId="9" fillId="0" borderId="1" applyAlignment="1" pivotButton="0" quotePrefix="0" xfId="0">
      <alignment vertical="top" wrapText="1"/>
    </xf>
    <xf numFmtId="0" fontId="17" fillId="5" borderId="1" pivotButton="0" quotePrefix="0" xfId="0"/>
    <xf numFmtId="166" fontId="5" fillId="0" borderId="1" applyAlignment="1" pivotButton="0" quotePrefix="0" xfId="0">
      <alignment horizontal="right"/>
    </xf>
    <xf numFmtId="166" fontId="5" fillId="4" borderId="1" applyAlignment="1" pivotButton="0" quotePrefix="0" xfId="0">
      <alignment horizontal="right"/>
    </xf>
    <xf numFmtId="0" fontId="5" fillId="4" borderId="1" applyAlignment="1" pivotButton="0" quotePrefix="0" xfId="0">
      <alignment horizontal="right"/>
    </xf>
    <xf numFmtId="0" fontId="5" fillId="0" borderId="1" applyAlignment="1" pivotButton="0" quotePrefix="0" xfId="0">
      <alignment horizontal="right"/>
    </xf>
    <xf numFmtId="165" fontId="5" fillId="0" borderId="1" pivotButton="0" quotePrefix="0" xfId="0"/>
    <xf numFmtId="165" fontId="5" fillId="4" borderId="1" pivotButton="0" quotePrefix="0" xfId="0"/>
    <xf numFmtId="167" fontId="5" fillId="0" borderId="1" applyAlignment="1" pivotButton="0" quotePrefix="0" xfId="0">
      <alignment horizontal="right"/>
    </xf>
    <xf numFmtId="167" fontId="5" fillId="4" borderId="1" applyAlignment="1" pivotButton="0" quotePrefix="0" xfId="0">
      <alignment horizontal="right"/>
    </xf>
    <xf numFmtId="168" fontId="5" fillId="0" borderId="1" applyAlignment="1" pivotButton="0" quotePrefix="0" xfId="0">
      <alignment horizontal="right"/>
    </xf>
    <xf numFmtId="168" fontId="5" fillId="4" borderId="1" applyAlignment="1" pivotButton="0" quotePrefix="0" xfId="0">
      <alignment horizontal="right"/>
    </xf>
    <xf numFmtId="0" fontId="18" fillId="0" borderId="1" pivotButton="0" quotePrefix="0" xfId="0"/>
    <xf numFmtId="0" fontId="18" fillId="4" borderId="1" pivotButton="0" quotePrefix="0" xfId="0"/>
    <xf numFmtId="3" fontId="19" fillId="0" borderId="1" applyAlignment="1" pivotButton="0" quotePrefix="0" xfId="0">
      <alignment horizontal="right"/>
    </xf>
    <xf numFmtId="164" fontId="19" fillId="4" borderId="1" applyAlignment="1" pivotButton="0" quotePrefix="0" xfId="0">
      <alignment horizontal="right"/>
    </xf>
    <xf numFmtId="164" fontId="19"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styles" Target="styles.xml" Id="rId128"/><Relationship Type="http://schemas.openxmlformats.org/officeDocument/2006/relationships/theme" Target="theme/theme1.xml" Id="rId1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1 Data'!A1" TargetMode="External" Id="rId1"/><Relationship Type="http://schemas.openxmlformats.org/officeDocument/2006/relationships/hyperlink" Target="#'1.1 Report'!A1" TargetMode="External" Id="rId2"/><Relationship Type="http://schemas.openxmlformats.org/officeDocument/2006/relationships/hyperlink" Target="#'1.2 Data'!A1" TargetMode="External" Id="rId3"/><Relationship Type="http://schemas.openxmlformats.org/officeDocument/2006/relationships/hyperlink" Target="#'1.2 Report'!A1" TargetMode="External" Id="rId4"/><Relationship Type="http://schemas.openxmlformats.org/officeDocument/2006/relationships/hyperlink" Target="#'1.3 Data'!A1" TargetMode="External" Id="rId5"/><Relationship Type="http://schemas.openxmlformats.org/officeDocument/2006/relationships/hyperlink" Target="#'1.3 Report'!A1" TargetMode="External" Id="rId6"/><Relationship Type="http://schemas.openxmlformats.org/officeDocument/2006/relationships/hyperlink" Target="#'1.4 Data'!A1" TargetMode="External" Id="rId7"/><Relationship Type="http://schemas.openxmlformats.org/officeDocument/2006/relationships/hyperlink" Target="#'1.4 Report'!A1" TargetMode="External" Id="rId8"/><Relationship Type="http://schemas.openxmlformats.org/officeDocument/2006/relationships/hyperlink" Target="#'1.5 Data'!A1" TargetMode="External" Id="rId9"/><Relationship Type="http://schemas.openxmlformats.org/officeDocument/2006/relationships/hyperlink" Target="#'1.5 Report'!A1" TargetMode="External" Id="rId10"/><Relationship Type="http://schemas.openxmlformats.org/officeDocument/2006/relationships/hyperlink" Target="#'1.6 Data'!A1" TargetMode="External" Id="rId11"/><Relationship Type="http://schemas.openxmlformats.org/officeDocument/2006/relationships/hyperlink" Target="#'1.6 Report'!A1" TargetMode="External" Id="rId12"/><Relationship Type="http://schemas.openxmlformats.org/officeDocument/2006/relationships/hyperlink" Target="#'1.7 Data'!A1" TargetMode="External" Id="rId13"/><Relationship Type="http://schemas.openxmlformats.org/officeDocument/2006/relationships/hyperlink" Target="#'1.7 Report'!A1" TargetMode="External" Id="rId14"/><Relationship Type="http://schemas.openxmlformats.org/officeDocument/2006/relationships/hyperlink" Target="#'1.8 Data'!A1" TargetMode="External" Id="rId15"/><Relationship Type="http://schemas.openxmlformats.org/officeDocument/2006/relationships/hyperlink" Target="#'1.8 Report'!A1" TargetMode="External" Id="rId16"/><Relationship Type="http://schemas.openxmlformats.org/officeDocument/2006/relationships/hyperlink" Target="#'1.9 Data'!A1" TargetMode="External" Id="rId17"/><Relationship Type="http://schemas.openxmlformats.org/officeDocument/2006/relationships/hyperlink" Target="#'1.9 Report'!A1" TargetMode="External" Id="rId18"/><Relationship Type="http://schemas.openxmlformats.org/officeDocument/2006/relationships/hyperlink" Target="#'1.10 Data'!A1" TargetMode="External" Id="rId19"/><Relationship Type="http://schemas.openxmlformats.org/officeDocument/2006/relationships/hyperlink" Target="#'1.10 Report'!A1" TargetMode="External" Id="rId20"/><Relationship Type="http://schemas.openxmlformats.org/officeDocument/2006/relationships/hyperlink" Target="#'1.11 Data'!A1" TargetMode="External" Id="rId21"/><Relationship Type="http://schemas.openxmlformats.org/officeDocument/2006/relationships/hyperlink" Target="#'1.11 Report'!A1" TargetMode="External" Id="rId22"/><Relationship Type="http://schemas.openxmlformats.org/officeDocument/2006/relationships/hyperlink" Target="#'1.12 Data'!A1" TargetMode="External" Id="rId23"/><Relationship Type="http://schemas.openxmlformats.org/officeDocument/2006/relationships/hyperlink" Target="#'1.12 Report'!A1" TargetMode="External" Id="rId24"/><Relationship Type="http://schemas.openxmlformats.org/officeDocument/2006/relationships/hyperlink" Target="#'1.13 Data'!A1" TargetMode="External" Id="rId25"/><Relationship Type="http://schemas.openxmlformats.org/officeDocument/2006/relationships/hyperlink" Target="#'1.13 Report'!A1" TargetMode="External" Id="rId26"/><Relationship Type="http://schemas.openxmlformats.org/officeDocument/2006/relationships/hyperlink" Target="#'1.14 Data'!A1" TargetMode="External" Id="rId27"/><Relationship Type="http://schemas.openxmlformats.org/officeDocument/2006/relationships/hyperlink" Target="#'1.14 Report'!A1" TargetMode="External" Id="rId28"/><Relationship Type="http://schemas.openxmlformats.org/officeDocument/2006/relationships/hyperlink" Target="#'1.15 Data'!A1" TargetMode="External" Id="rId29"/><Relationship Type="http://schemas.openxmlformats.org/officeDocument/2006/relationships/hyperlink" Target="#'1.15 Report'!A1" TargetMode="External" Id="rId30"/><Relationship Type="http://schemas.openxmlformats.org/officeDocument/2006/relationships/hyperlink" Target="#'1.16 Data'!A1" TargetMode="External" Id="rId31"/><Relationship Type="http://schemas.openxmlformats.org/officeDocument/2006/relationships/hyperlink" Target="#'1.16 Report'!A1" TargetMode="External" Id="rId32"/><Relationship Type="http://schemas.openxmlformats.org/officeDocument/2006/relationships/hyperlink" Target="#'1.17 Data'!A1" TargetMode="External" Id="rId33"/><Relationship Type="http://schemas.openxmlformats.org/officeDocument/2006/relationships/hyperlink" Target="#'1.17 Report'!A1" TargetMode="External" Id="rId34"/><Relationship Type="http://schemas.openxmlformats.org/officeDocument/2006/relationships/hyperlink" Target="#'2.1 Data'!A1" TargetMode="External" Id="rId35"/><Relationship Type="http://schemas.openxmlformats.org/officeDocument/2006/relationships/hyperlink" Target="#'2.1 Report'!A1" TargetMode="External" Id="rId36"/><Relationship Type="http://schemas.openxmlformats.org/officeDocument/2006/relationships/hyperlink" Target="#'2.2 Data'!A1" TargetMode="External" Id="rId37"/><Relationship Type="http://schemas.openxmlformats.org/officeDocument/2006/relationships/hyperlink" Target="#'2.2 Report'!A1" TargetMode="External" Id="rId38"/><Relationship Type="http://schemas.openxmlformats.org/officeDocument/2006/relationships/hyperlink" Target="#'2.3 Data'!A1" TargetMode="External" Id="rId39"/><Relationship Type="http://schemas.openxmlformats.org/officeDocument/2006/relationships/hyperlink" Target="#'2.3 Report'!A1" TargetMode="External" Id="rId40"/><Relationship Type="http://schemas.openxmlformats.org/officeDocument/2006/relationships/hyperlink" Target="#'2.4 Data'!A1" TargetMode="External" Id="rId41"/><Relationship Type="http://schemas.openxmlformats.org/officeDocument/2006/relationships/hyperlink" Target="#'2.4 Report'!A1" TargetMode="External" Id="rId42"/><Relationship Type="http://schemas.openxmlformats.org/officeDocument/2006/relationships/hyperlink" Target="#'2.5 Data'!A1" TargetMode="External" Id="rId43"/><Relationship Type="http://schemas.openxmlformats.org/officeDocument/2006/relationships/hyperlink" Target="#'2.5 Report'!A1" TargetMode="External" Id="rId44"/><Relationship Type="http://schemas.openxmlformats.org/officeDocument/2006/relationships/hyperlink" Target="#'2.6 Data'!A1" TargetMode="External" Id="rId45"/><Relationship Type="http://schemas.openxmlformats.org/officeDocument/2006/relationships/hyperlink" Target="#'2.6 Report'!A1" TargetMode="External" Id="rId46"/><Relationship Type="http://schemas.openxmlformats.org/officeDocument/2006/relationships/hyperlink" Target="#'2.7 Data'!A1" TargetMode="External" Id="rId47"/><Relationship Type="http://schemas.openxmlformats.org/officeDocument/2006/relationships/hyperlink" Target="#'2.7 Report'!A1" TargetMode="External" Id="rId48"/><Relationship Type="http://schemas.openxmlformats.org/officeDocument/2006/relationships/hyperlink" Target="#'2.8 Data'!A1" TargetMode="External" Id="rId49"/><Relationship Type="http://schemas.openxmlformats.org/officeDocument/2006/relationships/hyperlink" Target="#'2.8 Report'!A1" TargetMode="External" Id="rId50"/><Relationship Type="http://schemas.openxmlformats.org/officeDocument/2006/relationships/hyperlink" Target="#'2.9 Data'!A1" TargetMode="External" Id="rId51"/><Relationship Type="http://schemas.openxmlformats.org/officeDocument/2006/relationships/hyperlink" Target="#'2.9 Report'!A1" TargetMode="External" Id="rId52"/><Relationship Type="http://schemas.openxmlformats.org/officeDocument/2006/relationships/hyperlink" Target="#'2.10 Data'!A1" TargetMode="External" Id="rId53"/><Relationship Type="http://schemas.openxmlformats.org/officeDocument/2006/relationships/hyperlink" Target="#'2.10 Report'!A1" TargetMode="External" Id="rId54"/><Relationship Type="http://schemas.openxmlformats.org/officeDocument/2006/relationships/hyperlink" Target="#'2.11 Data'!A1" TargetMode="External" Id="rId55"/><Relationship Type="http://schemas.openxmlformats.org/officeDocument/2006/relationships/hyperlink" Target="#'2.11 Report'!A1" TargetMode="External" Id="rId56"/><Relationship Type="http://schemas.openxmlformats.org/officeDocument/2006/relationships/hyperlink" Target="#'2.12 Data'!A1" TargetMode="External" Id="rId57"/><Relationship Type="http://schemas.openxmlformats.org/officeDocument/2006/relationships/hyperlink" Target="#'2.12 Report'!A1" TargetMode="External" Id="rId58"/><Relationship Type="http://schemas.openxmlformats.org/officeDocument/2006/relationships/hyperlink" Target="#'2.13 Data'!A1" TargetMode="External" Id="rId59"/><Relationship Type="http://schemas.openxmlformats.org/officeDocument/2006/relationships/hyperlink" Target="#'2.13 Report'!A1" TargetMode="External" Id="rId60"/><Relationship Type="http://schemas.openxmlformats.org/officeDocument/2006/relationships/hyperlink" Target="#'2.14 Data'!A1" TargetMode="External" Id="rId61"/><Relationship Type="http://schemas.openxmlformats.org/officeDocument/2006/relationships/hyperlink" Target="#'2.14 Report'!A1" TargetMode="External" Id="rId62"/><Relationship Type="http://schemas.openxmlformats.org/officeDocument/2006/relationships/hyperlink" Target="#'2.15 Data'!A1" TargetMode="External" Id="rId63"/><Relationship Type="http://schemas.openxmlformats.org/officeDocument/2006/relationships/hyperlink" Target="#'2.15 Report'!A1" TargetMode="External" Id="rId64"/><Relationship Type="http://schemas.openxmlformats.org/officeDocument/2006/relationships/hyperlink" Target="#'3.1 Data'!A1" TargetMode="External" Id="rId65"/><Relationship Type="http://schemas.openxmlformats.org/officeDocument/2006/relationships/hyperlink" Target="#'3.1 Report'!A1" TargetMode="External" Id="rId66"/><Relationship Type="http://schemas.openxmlformats.org/officeDocument/2006/relationships/hyperlink" Target="#'3.2 Data'!A1" TargetMode="External" Id="rId67"/><Relationship Type="http://schemas.openxmlformats.org/officeDocument/2006/relationships/hyperlink" Target="#'3.2 Report'!A1" TargetMode="External" Id="rId68"/><Relationship Type="http://schemas.openxmlformats.org/officeDocument/2006/relationships/hyperlink" Target="#'3.3 Data'!A1" TargetMode="External" Id="rId69"/><Relationship Type="http://schemas.openxmlformats.org/officeDocument/2006/relationships/hyperlink" Target="#'3.3 Report'!A1" TargetMode="External" Id="rId70"/><Relationship Type="http://schemas.openxmlformats.org/officeDocument/2006/relationships/hyperlink" Target="#'3.4 Data'!A1" TargetMode="External" Id="rId71"/><Relationship Type="http://schemas.openxmlformats.org/officeDocument/2006/relationships/hyperlink" Target="#'3.4 Report'!A1" TargetMode="External" Id="rId72"/><Relationship Type="http://schemas.openxmlformats.org/officeDocument/2006/relationships/hyperlink" Target="#'3.5 Data'!A1" TargetMode="External" Id="rId73"/><Relationship Type="http://schemas.openxmlformats.org/officeDocument/2006/relationships/hyperlink" Target="#'3.5 Report'!A1" TargetMode="External" Id="rId74"/><Relationship Type="http://schemas.openxmlformats.org/officeDocument/2006/relationships/hyperlink" Target="#'3.6 Data'!A1" TargetMode="External" Id="rId75"/><Relationship Type="http://schemas.openxmlformats.org/officeDocument/2006/relationships/hyperlink" Target="#'3.6 Report'!A1" TargetMode="External" Id="rId76"/><Relationship Type="http://schemas.openxmlformats.org/officeDocument/2006/relationships/hyperlink" Target="#'3.7 Data'!A1" TargetMode="External" Id="rId77"/><Relationship Type="http://schemas.openxmlformats.org/officeDocument/2006/relationships/hyperlink" Target="#'3.7 Report'!A1" TargetMode="External" Id="rId78"/><Relationship Type="http://schemas.openxmlformats.org/officeDocument/2006/relationships/hyperlink" Target="#'3.8 Data'!A1" TargetMode="External" Id="rId79"/><Relationship Type="http://schemas.openxmlformats.org/officeDocument/2006/relationships/hyperlink" Target="#'3.8 Report'!A1" TargetMode="External" Id="rId80"/><Relationship Type="http://schemas.openxmlformats.org/officeDocument/2006/relationships/hyperlink" Target="#'3.9 Data'!A1" TargetMode="External" Id="rId81"/><Relationship Type="http://schemas.openxmlformats.org/officeDocument/2006/relationships/hyperlink" Target="#'3.9 Report'!A1" TargetMode="External" Id="rId82"/><Relationship Type="http://schemas.openxmlformats.org/officeDocument/2006/relationships/hyperlink" Target="#'3.10 Data'!A1" TargetMode="External" Id="rId83"/><Relationship Type="http://schemas.openxmlformats.org/officeDocument/2006/relationships/hyperlink" Target="#'3.10 Report'!A1" TargetMode="External" Id="rId84"/><Relationship Type="http://schemas.openxmlformats.org/officeDocument/2006/relationships/hyperlink" Target="#'3.11 Data'!A1" TargetMode="External" Id="rId85"/><Relationship Type="http://schemas.openxmlformats.org/officeDocument/2006/relationships/hyperlink" Target="#'3.11 Report'!A1" TargetMode="External" Id="rId86"/><Relationship Type="http://schemas.openxmlformats.org/officeDocument/2006/relationships/hyperlink" Target="#'3.12 Data'!A1" TargetMode="External" Id="rId87"/><Relationship Type="http://schemas.openxmlformats.org/officeDocument/2006/relationships/hyperlink" Target="#'3.12 Report'!A1" TargetMode="External" Id="rId88"/><Relationship Type="http://schemas.openxmlformats.org/officeDocument/2006/relationships/hyperlink" Target="#'3.13 Data'!A1" TargetMode="External" Id="rId89"/><Relationship Type="http://schemas.openxmlformats.org/officeDocument/2006/relationships/hyperlink" Target="#'3.13 Report'!A1" TargetMode="External" Id="rId90"/><Relationship Type="http://schemas.openxmlformats.org/officeDocument/2006/relationships/hyperlink" Target="#'3.14 Data'!A1" TargetMode="External" Id="rId91"/><Relationship Type="http://schemas.openxmlformats.org/officeDocument/2006/relationships/hyperlink" Target="#'3.14 Report'!A1" TargetMode="External" Id="rId92"/><Relationship Type="http://schemas.openxmlformats.org/officeDocument/2006/relationships/hyperlink" Target="#'3.15 Data'!A1" TargetMode="External" Id="rId93"/><Relationship Type="http://schemas.openxmlformats.org/officeDocument/2006/relationships/hyperlink" Target="#'3.15 Report'!A1" TargetMode="External" Id="rId94"/><Relationship Type="http://schemas.openxmlformats.org/officeDocument/2006/relationships/hyperlink" Target="#'3.16 Data'!A1" TargetMode="External" Id="rId95"/><Relationship Type="http://schemas.openxmlformats.org/officeDocument/2006/relationships/hyperlink" Target="#'3.16 Report'!A1" TargetMode="External" Id="rId96"/><Relationship Type="http://schemas.openxmlformats.org/officeDocument/2006/relationships/hyperlink" Target="#'4.1 Data'!A1" TargetMode="External" Id="rId97"/><Relationship Type="http://schemas.openxmlformats.org/officeDocument/2006/relationships/hyperlink" Target="#'4.1 Report'!A1" TargetMode="External" Id="rId98"/><Relationship Type="http://schemas.openxmlformats.org/officeDocument/2006/relationships/hyperlink" Target="#'4.2 Data'!A1" TargetMode="External" Id="rId99"/><Relationship Type="http://schemas.openxmlformats.org/officeDocument/2006/relationships/hyperlink" Target="#'4.2 Report'!A1" TargetMode="External" Id="rId100"/><Relationship Type="http://schemas.openxmlformats.org/officeDocument/2006/relationships/hyperlink" Target="#'4.3 Data'!A1" TargetMode="External" Id="rId101"/><Relationship Type="http://schemas.openxmlformats.org/officeDocument/2006/relationships/hyperlink" Target="#'4.3 Report'!A1" TargetMode="External" Id="rId102"/><Relationship Type="http://schemas.openxmlformats.org/officeDocument/2006/relationships/hyperlink" Target="#'4.4 Data'!A1" TargetMode="External" Id="rId103"/><Relationship Type="http://schemas.openxmlformats.org/officeDocument/2006/relationships/hyperlink" Target="#'4.4 Report'!A1" TargetMode="External" Id="rId104"/><Relationship Type="http://schemas.openxmlformats.org/officeDocument/2006/relationships/hyperlink" Target="#'4.5 Data'!A1" TargetMode="External" Id="rId105"/><Relationship Type="http://schemas.openxmlformats.org/officeDocument/2006/relationships/hyperlink" Target="#'4.5 Report'!A1" TargetMode="External" Id="rId106"/><Relationship Type="http://schemas.openxmlformats.org/officeDocument/2006/relationships/hyperlink" Target="#'4.6 Data'!A1" TargetMode="External" Id="rId107"/><Relationship Type="http://schemas.openxmlformats.org/officeDocument/2006/relationships/hyperlink" Target="#'4.6 Report'!A1" TargetMode="External" Id="rId108"/><Relationship Type="http://schemas.openxmlformats.org/officeDocument/2006/relationships/hyperlink" Target="#'4.7 Data'!A1" TargetMode="External" Id="rId109"/><Relationship Type="http://schemas.openxmlformats.org/officeDocument/2006/relationships/hyperlink" Target="#'4.7 Report'!A1" TargetMode="External" Id="rId110"/><Relationship Type="http://schemas.openxmlformats.org/officeDocument/2006/relationships/hyperlink" Target="#'4.8 Data'!A1" TargetMode="External" Id="rId111"/><Relationship Type="http://schemas.openxmlformats.org/officeDocument/2006/relationships/hyperlink" Target="#'4.8 Report'!A1" TargetMode="External" Id="rId112"/><Relationship Type="http://schemas.openxmlformats.org/officeDocument/2006/relationships/hyperlink" Target="#'4.9 Data'!A1" TargetMode="External" Id="rId113"/><Relationship Type="http://schemas.openxmlformats.org/officeDocument/2006/relationships/hyperlink" Target="#'4.9 Report'!A1" TargetMode="External" Id="rId114"/><Relationship Type="http://schemas.openxmlformats.org/officeDocument/2006/relationships/hyperlink" Target="#'4.10 Data'!A1" TargetMode="External" Id="rId115"/><Relationship Type="http://schemas.openxmlformats.org/officeDocument/2006/relationships/hyperlink" Target="#'4.10 Report'!A1" TargetMode="External" Id="rId116"/><Relationship Type="http://schemas.openxmlformats.org/officeDocument/2006/relationships/hyperlink" Target="#'4.11 Data'!A1" TargetMode="External" Id="rId117"/><Relationship Type="http://schemas.openxmlformats.org/officeDocument/2006/relationships/hyperlink" Target="#'4.11 Report'!A1" TargetMode="External" Id="rId118"/><Relationship Type="http://schemas.openxmlformats.org/officeDocument/2006/relationships/hyperlink" Target="#'4.12 Data'!A1" TargetMode="External" Id="rId119"/><Relationship Type="http://schemas.openxmlformats.org/officeDocument/2006/relationships/hyperlink" Target="#'4.12 Report'!A1" TargetMode="External" Id="rId120"/><Relationship Type="http://schemas.openxmlformats.org/officeDocument/2006/relationships/hyperlink" Target="#'4.13 Data'!A1" TargetMode="External" Id="rId121"/><Relationship Type="http://schemas.openxmlformats.org/officeDocument/2006/relationships/hyperlink" Target="#'4.13 Report'!A1" TargetMode="External" Id="rId122"/><Relationship Type="http://schemas.openxmlformats.org/officeDocument/2006/relationships/hyperlink" Target="#'4.14 Data'!A1" TargetMode="External" Id="rId123"/><Relationship Type="http://schemas.openxmlformats.org/officeDocument/2006/relationships/hyperlink" Target="#'4.14 Report'!A1" TargetMode="External" Id="rId124"/><Relationship Type="http://schemas.openxmlformats.org/officeDocument/2006/relationships/hyperlink" Target="#'4.15 Data'!A1" TargetMode="External" Id="rId125"/><Relationship Type="http://schemas.openxmlformats.org/officeDocument/2006/relationships/hyperlink" Target="#'4.15 Report'!A1" TargetMode="External" Id="rId126"/></Relationships>
</file>

<file path=xl/worksheets/_rels/sheet3.xml.rels><Relationships xmlns="http://schemas.openxmlformats.org/package/2006/relationships"><Relationship Type="http://schemas.openxmlformats.org/officeDocument/2006/relationships/hyperlink" Target="#'1.1 Data'!A1" TargetMode="External" Id="rId1"/></Relationships>
</file>

<file path=xl/worksheets/_rels/sheet5.xml.rels><Relationships xmlns="http://schemas.openxmlformats.org/package/2006/relationships"><Relationship Type="http://schemas.openxmlformats.org/officeDocument/2006/relationships/hyperlink" Target="#'1.2 Data'!A1" TargetMode="External" Id="rId1"/></Relationships>
</file>

<file path=xl/worksheets/_rels/sheet7.xml.rels><Relationships xmlns="http://schemas.openxmlformats.org/package/2006/relationships"><Relationship Type="http://schemas.openxmlformats.org/officeDocument/2006/relationships/hyperlink" Target="#'1.3 Data'!A1" TargetMode="External" Id="rId1"/></Relationships>
</file>

<file path=xl/worksheets/_rels/sheet9.xml.rels><Relationships xmlns="http://schemas.openxmlformats.org/package/2006/relationships"><Relationship Type="http://schemas.openxmlformats.org/officeDocument/2006/relationships/hyperlink" Target="#'1.4 Data'!A1" TargetMode="External" Id="rId1"/></Relationships>
</file>

<file path=xl/worksheets/_rels/sheet11.xml.rels><Relationships xmlns="http://schemas.openxmlformats.org/package/2006/relationships"><Relationship Type="http://schemas.openxmlformats.org/officeDocument/2006/relationships/hyperlink" Target="#'1.5 Data'!A1" TargetMode="External" Id="rId1"/></Relationships>
</file>

<file path=xl/worksheets/_rels/sheet13.xml.rels><Relationships xmlns="http://schemas.openxmlformats.org/package/2006/relationships"><Relationship Type="http://schemas.openxmlformats.org/officeDocument/2006/relationships/hyperlink" Target="#'1.6 Data'!A1" TargetMode="External" Id="rId1"/></Relationships>
</file>

<file path=xl/worksheets/_rels/sheet15.xml.rels><Relationships xmlns="http://schemas.openxmlformats.org/package/2006/relationships"><Relationship Type="http://schemas.openxmlformats.org/officeDocument/2006/relationships/hyperlink" Target="#'1.7 Data'!A1" TargetMode="External" Id="rId1"/></Relationships>
</file>

<file path=xl/worksheets/_rels/sheet17.xml.rels><Relationships xmlns="http://schemas.openxmlformats.org/package/2006/relationships"><Relationship Type="http://schemas.openxmlformats.org/officeDocument/2006/relationships/hyperlink" Target="#'1.8 Data'!A1" TargetMode="External" Id="rId1"/></Relationships>
</file>

<file path=xl/worksheets/_rels/sheet19.xml.rels><Relationships xmlns="http://schemas.openxmlformats.org/package/2006/relationships"><Relationship Type="http://schemas.openxmlformats.org/officeDocument/2006/relationships/hyperlink" Target="#'1.9 Data'!A1" TargetMode="External" Id="rId1"/></Relationships>
</file>

<file path=xl/worksheets/_rels/sheet21.xml.rels><Relationships xmlns="http://schemas.openxmlformats.org/package/2006/relationships"><Relationship Type="http://schemas.openxmlformats.org/officeDocument/2006/relationships/hyperlink" Target="#'1.10 Data'!A1" TargetMode="External" Id="rId1"/></Relationships>
</file>

<file path=xl/worksheets/_rels/sheet23.xml.rels><Relationships xmlns="http://schemas.openxmlformats.org/package/2006/relationships"><Relationship Type="http://schemas.openxmlformats.org/officeDocument/2006/relationships/hyperlink" Target="#'1.11 Data'!A1" TargetMode="External" Id="rId1"/></Relationships>
</file>

<file path=xl/worksheets/_rels/sheet25.xml.rels><Relationships xmlns="http://schemas.openxmlformats.org/package/2006/relationships"><Relationship Type="http://schemas.openxmlformats.org/officeDocument/2006/relationships/hyperlink" Target="#'1.12 Data'!A1" TargetMode="External" Id="rId1"/></Relationships>
</file>

<file path=xl/worksheets/_rels/sheet27.xml.rels><Relationships xmlns="http://schemas.openxmlformats.org/package/2006/relationships"><Relationship Type="http://schemas.openxmlformats.org/officeDocument/2006/relationships/hyperlink" Target="#'1.13 Data'!A1" TargetMode="External" Id="rId1"/></Relationships>
</file>

<file path=xl/worksheets/_rels/sheet29.xml.rels><Relationships xmlns="http://schemas.openxmlformats.org/package/2006/relationships"><Relationship Type="http://schemas.openxmlformats.org/officeDocument/2006/relationships/hyperlink" Target="#'1.14 Data'!A1" TargetMode="External" Id="rId1"/></Relationships>
</file>

<file path=xl/worksheets/_rels/sheet31.xml.rels><Relationships xmlns="http://schemas.openxmlformats.org/package/2006/relationships"><Relationship Type="http://schemas.openxmlformats.org/officeDocument/2006/relationships/hyperlink" Target="#'1.15 Data'!A1" TargetMode="External" Id="rId1"/></Relationships>
</file>

<file path=xl/worksheets/_rels/sheet33.xml.rels><Relationships xmlns="http://schemas.openxmlformats.org/package/2006/relationships"><Relationship Type="http://schemas.openxmlformats.org/officeDocument/2006/relationships/hyperlink" Target="#'1.16 Data'!A1" TargetMode="External" Id="rId1"/></Relationships>
</file>

<file path=xl/worksheets/_rels/sheet35.xml.rels><Relationships xmlns="http://schemas.openxmlformats.org/package/2006/relationships"><Relationship Type="http://schemas.openxmlformats.org/officeDocument/2006/relationships/hyperlink" Target="#'1.17 Data'!A1" TargetMode="External" Id="rId1"/></Relationships>
</file>

<file path=xl/worksheets/_rels/sheet37.xml.rels><Relationships xmlns="http://schemas.openxmlformats.org/package/2006/relationships"><Relationship Type="http://schemas.openxmlformats.org/officeDocument/2006/relationships/hyperlink" Target="#'2.1 Data'!A1" TargetMode="External" Id="rId1"/></Relationships>
</file>

<file path=xl/worksheets/_rels/sheet39.xml.rels><Relationships xmlns="http://schemas.openxmlformats.org/package/2006/relationships"><Relationship Type="http://schemas.openxmlformats.org/officeDocument/2006/relationships/hyperlink" Target="#'2.2 Data'!A1" TargetMode="External" Id="rId1"/></Relationships>
</file>

<file path=xl/worksheets/_rels/sheet41.xml.rels><Relationships xmlns="http://schemas.openxmlformats.org/package/2006/relationships"><Relationship Type="http://schemas.openxmlformats.org/officeDocument/2006/relationships/hyperlink" Target="#'2.3 Data'!A1" TargetMode="External" Id="rId1"/></Relationships>
</file>

<file path=xl/worksheets/_rels/sheet43.xml.rels><Relationships xmlns="http://schemas.openxmlformats.org/package/2006/relationships"><Relationship Type="http://schemas.openxmlformats.org/officeDocument/2006/relationships/hyperlink" Target="#'2.4 Data'!A1" TargetMode="External" Id="rId1"/></Relationships>
</file>

<file path=xl/worksheets/_rels/sheet45.xml.rels><Relationships xmlns="http://schemas.openxmlformats.org/package/2006/relationships"><Relationship Type="http://schemas.openxmlformats.org/officeDocument/2006/relationships/hyperlink" Target="#'2.5 Data'!A1" TargetMode="External" Id="rId1"/></Relationships>
</file>

<file path=xl/worksheets/_rels/sheet47.xml.rels><Relationships xmlns="http://schemas.openxmlformats.org/package/2006/relationships"><Relationship Type="http://schemas.openxmlformats.org/officeDocument/2006/relationships/hyperlink" Target="#'2.6 Data'!A1" TargetMode="External" Id="rId1"/></Relationships>
</file>

<file path=xl/worksheets/_rels/sheet49.xml.rels><Relationships xmlns="http://schemas.openxmlformats.org/package/2006/relationships"><Relationship Type="http://schemas.openxmlformats.org/officeDocument/2006/relationships/hyperlink" Target="#'2.7 Data'!A1" TargetMode="External" Id="rId1"/></Relationships>
</file>

<file path=xl/worksheets/_rels/sheet51.xml.rels><Relationships xmlns="http://schemas.openxmlformats.org/package/2006/relationships"><Relationship Type="http://schemas.openxmlformats.org/officeDocument/2006/relationships/hyperlink" Target="#'2.8 Data'!A1" TargetMode="External" Id="rId1"/></Relationships>
</file>

<file path=xl/worksheets/_rels/sheet53.xml.rels><Relationships xmlns="http://schemas.openxmlformats.org/package/2006/relationships"><Relationship Type="http://schemas.openxmlformats.org/officeDocument/2006/relationships/hyperlink" Target="#'2.9 Data'!A1" TargetMode="External" Id="rId1"/></Relationships>
</file>

<file path=xl/worksheets/_rels/sheet55.xml.rels><Relationships xmlns="http://schemas.openxmlformats.org/package/2006/relationships"><Relationship Type="http://schemas.openxmlformats.org/officeDocument/2006/relationships/hyperlink" Target="#'2.10 Data'!A1" TargetMode="External" Id="rId1"/></Relationships>
</file>

<file path=xl/worksheets/_rels/sheet57.xml.rels><Relationships xmlns="http://schemas.openxmlformats.org/package/2006/relationships"><Relationship Type="http://schemas.openxmlformats.org/officeDocument/2006/relationships/hyperlink" Target="#'2.11 Data'!A1" TargetMode="External" Id="rId1"/></Relationships>
</file>

<file path=xl/worksheets/_rels/sheet59.xml.rels><Relationships xmlns="http://schemas.openxmlformats.org/package/2006/relationships"><Relationship Type="http://schemas.openxmlformats.org/officeDocument/2006/relationships/hyperlink" Target="#'2.12 Data'!A1" TargetMode="External" Id="rId1"/></Relationships>
</file>

<file path=xl/worksheets/_rels/sheet61.xml.rels><Relationships xmlns="http://schemas.openxmlformats.org/package/2006/relationships"><Relationship Type="http://schemas.openxmlformats.org/officeDocument/2006/relationships/hyperlink" Target="#'2.13 Data'!A1" TargetMode="External" Id="rId1"/></Relationships>
</file>

<file path=xl/worksheets/_rels/sheet63.xml.rels><Relationships xmlns="http://schemas.openxmlformats.org/package/2006/relationships"><Relationship Type="http://schemas.openxmlformats.org/officeDocument/2006/relationships/hyperlink" Target="#'2.14 Data'!A1" TargetMode="External" Id="rId1"/></Relationships>
</file>

<file path=xl/worksheets/_rels/sheet65.xml.rels><Relationships xmlns="http://schemas.openxmlformats.org/package/2006/relationships"><Relationship Type="http://schemas.openxmlformats.org/officeDocument/2006/relationships/hyperlink" Target="#'2.15 Data'!A1" TargetMode="External" Id="rId1"/></Relationships>
</file>

<file path=xl/worksheets/_rels/sheet67.xml.rels><Relationships xmlns="http://schemas.openxmlformats.org/package/2006/relationships"><Relationship Type="http://schemas.openxmlformats.org/officeDocument/2006/relationships/hyperlink" Target="#'3.1 Data'!A1" TargetMode="External" Id="rId1"/></Relationships>
</file>

<file path=xl/worksheets/_rels/sheet69.xml.rels><Relationships xmlns="http://schemas.openxmlformats.org/package/2006/relationships"><Relationship Type="http://schemas.openxmlformats.org/officeDocument/2006/relationships/hyperlink" Target="#'3.2 Data'!A1" TargetMode="External" Id="rId1"/></Relationships>
</file>

<file path=xl/worksheets/_rels/sheet71.xml.rels><Relationships xmlns="http://schemas.openxmlformats.org/package/2006/relationships"><Relationship Type="http://schemas.openxmlformats.org/officeDocument/2006/relationships/hyperlink" Target="#'3.3 Data'!A1" TargetMode="External" Id="rId1"/></Relationships>
</file>

<file path=xl/worksheets/_rels/sheet73.xml.rels><Relationships xmlns="http://schemas.openxmlformats.org/package/2006/relationships"><Relationship Type="http://schemas.openxmlformats.org/officeDocument/2006/relationships/hyperlink" Target="#'3.4 Data'!A1" TargetMode="External" Id="rId1"/></Relationships>
</file>

<file path=xl/worksheets/_rels/sheet75.xml.rels><Relationships xmlns="http://schemas.openxmlformats.org/package/2006/relationships"><Relationship Type="http://schemas.openxmlformats.org/officeDocument/2006/relationships/hyperlink" Target="#'3.5 Data'!A1" TargetMode="External" Id="rId1"/></Relationships>
</file>

<file path=xl/worksheets/_rels/sheet77.xml.rels><Relationships xmlns="http://schemas.openxmlformats.org/package/2006/relationships"><Relationship Type="http://schemas.openxmlformats.org/officeDocument/2006/relationships/hyperlink" Target="#'3.6 Data'!A1" TargetMode="External" Id="rId1"/></Relationships>
</file>

<file path=xl/worksheets/_rels/sheet79.xml.rels><Relationships xmlns="http://schemas.openxmlformats.org/package/2006/relationships"><Relationship Type="http://schemas.openxmlformats.org/officeDocument/2006/relationships/hyperlink" Target="#'3.7 Data'!A1" TargetMode="External" Id="rId1"/></Relationships>
</file>

<file path=xl/worksheets/_rels/sheet81.xml.rels><Relationships xmlns="http://schemas.openxmlformats.org/package/2006/relationships"><Relationship Type="http://schemas.openxmlformats.org/officeDocument/2006/relationships/hyperlink" Target="#'3.8 Data'!A1" TargetMode="External" Id="rId1"/></Relationships>
</file>

<file path=xl/worksheets/_rels/sheet83.xml.rels><Relationships xmlns="http://schemas.openxmlformats.org/package/2006/relationships"><Relationship Type="http://schemas.openxmlformats.org/officeDocument/2006/relationships/hyperlink" Target="#'3.9 Data'!A1" TargetMode="External" Id="rId1"/></Relationships>
</file>

<file path=xl/worksheets/_rels/sheet85.xml.rels><Relationships xmlns="http://schemas.openxmlformats.org/package/2006/relationships"><Relationship Type="http://schemas.openxmlformats.org/officeDocument/2006/relationships/hyperlink" Target="#'3.10 Data'!A1" TargetMode="External" Id="rId1"/></Relationships>
</file>

<file path=xl/worksheets/_rels/sheet87.xml.rels><Relationships xmlns="http://schemas.openxmlformats.org/package/2006/relationships"><Relationship Type="http://schemas.openxmlformats.org/officeDocument/2006/relationships/hyperlink" Target="#'3.11 Data'!A1" TargetMode="External" Id="rId1"/></Relationships>
</file>

<file path=xl/worksheets/_rels/sheet89.xml.rels><Relationships xmlns="http://schemas.openxmlformats.org/package/2006/relationships"><Relationship Type="http://schemas.openxmlformats.org/officeDocument/2006/relationships/hyperlink" Target="#'3.12 Data'!A1" TargetMode="External" Id="rId1"/></Relationships>
</file>

<file path=xl/worksheets/_rels/sheet91.xml.rels><Relationships xmlns="http://schemas.openxmlformats.org/package/2006/relationships"><Relationship Type="http://schemas.openxmlformats.org/officeDocument/2006/relationships/hyperlink" Target="#'3.13 Data'!A1" TargetMode="External" Id="rId1"/></Relationships>
</file>

<file path=xl/worksheets/_rels/sheet93.xml.rels><Relationships xmlns="http://schemas.openxmlformats.org/package/2006/relationships"><Relationship Type="http://schemas.openxmlformats.org/officeDocument/2006/relationships/hyperlink" Target="#'3.14 Data'!A1" TargetMode="External" Id="rId1"/></Relationships>
</file>

<file path=xl/worksheets/_rels/sheet95.xml.rels><Relationships xmlns="http://schemas.openxmlformats.org/package/2006/relationships"><Relationship Type="http://schemas.openxmlformats.org/officeDocument/2006/relationships/hyperlink" Target="#'3.15 Data'!A1" TargetMode="External" Id="rId1"/></Relationships>
</file>

<file path=xl/worksheets/_rels/sheet97.xml.rels><Relationships xmlns="http://schemas.openxmlformats.org/package/2006/relationships"><Relationship Type="http://schemas.openxmlformats.org/officeDocument/2006/relationships/hyperlink" Target="#'3.16 Data'!A1" TargetMode="External" Id="rId1"/></Relationships>
</file>

<file path=xl/worksheets/_rels/sheet99.xml.rels><Relationships xmlns="http://schemas.openxmlformats.org/package/2006/relationships"><Relationship Type="http://schemas.openxmlformats.org/officeDocument/2006/relationships/hyperlink" Target="#'4.1 Data'!A1" TargetMode="External" Id="rId1"/></Relationships>
</file>

<file path=xl/worksheets/_rels/sheet101.xml.rels><Relationships xmlns="http://schemas.openxmlformats.org/package/2006/relationships"><Relationship Type="http://schemas.openxmlformats.org/officeDocument/2006/relationships/hyperlink" Target="#'4.2 Data'!A1" TargetMode="External" Id="rId1"/></Relationships>
</file>

<file path=xl/worksheets/_rels/sheet103.xml.rels><Relationships xmlns="http://schemas.openxmlformats.org/package/2006/relationships"><Relationship Type="http://schemas.openxmlformats.org/officeDocument/2006/relationships/hyperlink" Target="#'4.3 Data'!A1" TargetMode="External" Id="rId1"/></Relationships>
</file>

<file path=xl/worksheets/_rels/sheet105.xml.rels><Relationships xmlns="http://schemas.openxmlformats.org/package/2006/relationships"><Relationship Type="http://schemas.openxmlformats.org/officeDocument/2006/relationships/hyperlink" Target="#'4.4 Data'!A1" TargetMode="External" Id="rId1"/></Relationships>
</file>

<file path=xl/worksheets/_rels/sheet107.xml.rels><Relationships xmlns="http://schemas.openxmlformats.org/package/2006/relationships"><Relationship Type="http://schemas.openxmlformats.org/officeDocument/2006/relationships/hyperlink" Target="#'4.5 Data'!A1" TargetMode="External" Id="rId1"/></Relationships>
</file>

<file path=xl/worksheets/_rels/sheet109.xml.rels><Relationships xmlns="http://schemas.openxmlformats.org/package/2006/relationships"><Relationship Type="http://schemas.openxmlformats.org/officeDocument/2006/relationships/hyperlink" Target="#'4.6 Data'!A1" TargetMode="External" Id="rId1"/></Relationships>
</file>

<file path=xl/worksheets/_rels/sheet111.xml.rels><Relationships xmlns="http://schemas.openxmlformats.org/package/2006/relationships"><Relationship Type="http://schemas.openxmlformats.org/officeDocument/2006/relationships/hyperlink" Target="#'4.7 Data'!A1" TargetMode="External" Id="rId1"/></Relationships>
</file>

<file path=xl/worksheets/_rels/sheet113.xml.rels><Relationships xmlns="http://schemas.openxmlformats.org/package/2006/relationships"><Relationship Type="http://schemas.openxmlformats.org/officeDocument/2006/relationships/hyperlink" Target="#'4.8 Data'!A1" TargetMode="External" Id="rId1"/></Relationships>
</file>

<file path=xl/worksheets/_rels/sheet115.xml.rels><Relationships xmlns="http://schemas.openxmlformats.org/package/2006/relationships"><Relationship Type="http://schemas.openxmlformats.org/officeDocument/2006/relationships/hyperlink" Target="#'4.9 Data'!A1" TargetMode="External" Id="rId1"/></Relationships>
</file>

<file path=xl/worksheets/_rels/sheet117.xml.rels><Relationships xmlns="http://schemas.openxmlformats.org/package/2006/relationships"><Relationship Type="http://schemas.openxmlformats.org/officeDocument/2006/relationships/hyperlink" Target="#'4.10 Data'!A1" TargetMode="External" Id="rId1"/></Relationships>
</file>

<file path=xl/worksheets/_rels/sheet119.xml.rels><Relationships xmlns="http://schemas.openxmlformats.org/package/2006/relationships"><Relationship Type="http://schemas.openxmlformats.org/officeDocument/2006/relationships/hyperlink" Target="#'4.11 Data'!A1" TargetMode="External" Id="rId1"/></Relationships>
</file>

<file path=xl/worksheets/_rels/sheet121.xml.rels><Relationships xmlns="http://schemas.openxmlformats.org/package/2006/relationships"><Relationship Type="http://schemas.openxmlformats.org/officeDocument/2006/relationships/hyperlink" Target="#'4.12 Data'!A1" TargetMode="External" Id="rId1"/></Relationships>
</file>

<file path=xl/worksheets/_rels/sheet123.xml.rels><Relationships xmlns="http://schemas.openxmlformats.org/package/2006/relationships"><Relationship Type="http://schemas.openxmlformats.org/officeDocument/2006/relationships/hyperlink" Target="#'4.13 Data'!A1" TargetMode="External" Id="rId1"/></Relationships>
</file>

<file path=xl/worksheets/_rels/sheet125.xml.rels><Relationships xmlns="http://schemas.openxmlformats.org/package/2006/relationships"><Relationship Type="http://schemas.openxmlformats.org/officeDocument/2006/relationships/hyperlink" Target="#'4.14 Data'!A1" TargetMode="External" Id="rId1"/></Relationships>
</file>

<file path=xl/worksheets/_rels/sheet127.xml.rels><Relationships xmlns="http://schemas.openxmlformats.org/package/2006/relationships"><Relationship Type="http://schemas.openxmlformats.org/officeDocument/2006/relationships/hyperlink" Target="#'4.15 Data'!A1" TargetMode="External" Id="rId1"/></Relationships>
</file>

<file path=xl/worksheets/sheet1.xml><?xml version="1.0" encoding="utf-8"?>
<worksheet xmlns="http://schemas.openxmlformats.org/spreadsheetml/2006/main">
  <sheetPr>
    <tabColor rgb="00375623"/>
    <outlinePr summaryBelow="1" summaryRight="1"/>
    <pageSetUpPr/>
  </sheetPr>
  <dimension ref="A1:E73"/>
  <sheetViews>
    <sheetView showGridLines="0" workbookViewId="0">
      <pane ySplit="6" topLeftCell="A7" activePane="bottomLeft" state="frozen"/>
      <selection pane="bottomLeft" activeCell="A1" sqref="A1"/>
    </sheetView>
  </sheetViews>
  <sheetFormatPr baseColWidth="8" defaultRowHeight="15"/>
  <cols>
    <col width="9" customWidth="1" min="1" max="1"/>
    <col width="62" customWidth="1" min="2" max="2"/>
    <col width="18" customWidth="1" min="3" max="3"/>
    <col width="18" customWidth="1" min="4" max="4"/>
    <col width="3" customWidth="1" min="5" max="5"/>
  </cols>
  <sheetData>
    <row r="1" ht="26" customHeight="1">
      <c r="A1" s="1" t="inlineStr">
        <is>
          <t>Excel Intermediate to Advanced for Reporting &amp; Analysis — Practice Workbook</t>
        </is>
      </c>
    </row>
    <row r="2" ht="16" customHeight="1">
      <c r="A2" s="2" t="inlineStr">
        <is>
          <t>Adamjee Assurance Company Limited  |  One Day Training  |  9:00 AM – 5:00 PM  |  Microsoft Excel 2016  |  63 problems, 63 datasets</t>
        </is>
      </c>
    </row>
    <row r="4" ht="30" customHeight="1">
      <c r="A4" s="3" t="inlineStr">
        <is>
          <t>How to use: every topic has two sheets — a DATA sheet (the Adamjee dataset) and a TASK sheet (the problem statement plus a yellow area where you build your answer). Click a link below to jump.</t>
        </is>
      </c>
    </row>
    <row r="6">
      <c r="A6" s="4" t="inlineStr">
        <is>
          <t>Topic</t>
        </is>
      </c>
      <c r="B6" s="4" t="inlineStr">
        <is>
          <t>Title</t>
        </is>
      </c>
      <c r="C6" s="4" t="inlineStr">
        <is>
          <t>Dataset</t>
        </is>
      </c>
      <c r="D6" s="4" t="inlineStr">
        <is>
          <t>Report Template</t>
        </is>
      </c>
    </row>
    <row r="7" ht="19" customHeight="1">
      <c r="A7" s="5" t="inlineStr">
        <is>
          <t>Session 1: Advanced Lookup, Text &amp; Date Functions</t>
        </is>
      </c>
    </row>
    <row r="8">
      <c r="A8" s="6" t="inlineStr">
        <is>
          <t>1.1</t>
        </is>
      </c>
      <c r="B8" s="7" t="inlineStr">
        <is>
          <t>VLOOKUP with Approximate Match and Wildcards</t>
        </is>
      </c>
      <c r="C8" s="8" t="inlineStr">
        <is>
          <t>1.1 Data</t>
        </is>
      </c>
      <c r="D8" s="8" t="inlineStr">
        <is>
          <t>1.1 Report</t>
        </is>
      </c>
    </row>
    <row r="9">
      <c r="A9" s="6" t="inlineStr">
        <is>
          <t>1.2</t>
        </is>
      </c>
      <c r="B9" s="7" t="inlineStr">
        <is>
          <t>HLOOKUP for Horizontal Data Tables</t>
        </is>
      </c>
      <c r="C9" s="8" t="inlineStr">
        <is>
          <t>1.2 Data</t>
        </is>
      </c>
      <c r="D9" s="8" t="inlineStr">
        <is>
          <t>1.2 Report</t>
        </is>
      </c>
    </row>
    <row r="10">
      <c r="A10" s="6" t="inlineStr">
        <is>
          <t>1.3</t>
        </is>
      </c>
      <c r="B10" s="7" t="inlineStr">
        <is>
          <t>INDEX and MATCH (Single Criteria Lookup)</t>
        </is>
      </c>
      <c r="C10" s="8" t="inlineStr">
        <is>
          <t>1.3 Data</t>
        </is>
      </c>
      <c r="D10" s="8" t="inlineStr">
        <is>
          <t>1.3 Report</t>
        </is>
      </c>
    </row>
    <row r="11">
      <c r="A11" s="6" t="inlineStr">
        <is>
          <t>1.4</t>
        </is>
      </c>
      <c r="B11" s="7" t="inlineStr">
        <is>
          <t>INDEX and MATCH (Two-Way Lookup)</t>
        </is>
      </c>
      <c r="C11" s="8" t="inlineStr">
        <is>
          <t>1.4 Data</t>
        </is>
      </c>
      <c r="D11" s="8" t="inlineStr">
        <is>
          <t>1.4 Report</t>
        </is>
      </c>
    </row>
    <row r="12">
      <c r="A12" s="6" t="inlineStr">
        <is>
          <t>1.5</t>
        </is>
      </c>
      <c r="B12" s="7" t="inlineStr">
        <is>
          <t>INDEX and MATCH with Multiple Criteria (Array Formula, Ctrl+Shift+Enter)</t>
        </is>
      </c>
      <c r="C12" s="8" t="inlineStr">
        <is>
          <t>1.5 Data</t>
        </is>
      </c>
      <c r="D12" s="8" t="inlineStr">
        <is>
          <t>1.5 Report</t>
        </is>
      </c>
    </row>
    <row r="13">
      <c r="A13" s="6" t="inlineStr">
        <is>
          <t>1.6</t>
        </is>
      </c>
      <c r="B13" s="7" t="inlineStr">
        <is>
          <t>OFFSET with MATCH for Dynamic Lookups</t>
        </is>
      </c>
      <c r="C13" s="8" t="inlineStr">
        <is>
          <t>1.6 Data</t>
        </is>
      </c>
      <c r="D13" s="8" t="inlineStr">
        <is>
          <t>1.6 Report</t>
        </is>
      </c>
    </row>
    <row r="14">
      <c r="A14" s="6" t="inlineStr">
        <is>
          <t>1.7</t>
        </is>
      </c>
      <c r="B14" s="7" t="inlineStr">
        <is>
          <t>Handling Lookup Errors with IFERROR and IFNA</t>
        </is>
      </c>
      <c r="C14" s="8" t="inlineStr">
        <is>
          <t>1.7 Data</t>
        </is>
      </c>
      <c r="D14" s="8" t="inlineStr">
        <is>
          <t>1.7 Report</t>
        </is>
      </c>
    </row>
    <row r="15">
      <c r="A15" s="6" t="inlineStr">
        <is>
          <t>1.8</t>
        </is>
      </c>
      <c r="B15" s="7" t="inlineStr">
        <is>
          <t>LEFT, RIGHT, MID</t>
        </is>
      </c>
      <c r="C15" s="8" t="inlineStr">
        <is>
          <t>1.8 Data</t>
        </is>
      </c>
      <c r="D15" s="8" t="inlineStr">
        <is>
          <t>1.8 Report</t>
        </is>
      </c>
    </row>
    <row r="16">
      <c r="A16" s="6" t="inlineStr">
        <is>
          <t>1.9</t>
        </is>
      </c>
      <c r="B16" s="7" t="inlineStr">
        <is>
          <t>FIND and SEARCH</t>
        </is>
      </c>
      <c r="C16" s="8" t="inlineStr">
        <is>
          <t>1.9 Data</t>
        </is>
      </c>
      <c r="D16" s="8" t="inlineStr">
        <is>
          <t>1.9 Report</t>
        </is>
      </c>
    </row>
    <row r="17">
      <c r="A17" s="6" t="inlineStr">
        <is>
          <t>1.10</t>
        </is>
      </c>
      <c r="B17" s="7" t="inlineStr">
        <is>
          <t>LEN, TRIM, CLEAN</t>
        </is>
      </c>
      <c r="C17" s="8" t="inlineStr">
        <is>
          <t>1.10 Data</t>
        </is>
      </c>
      <c r="D17" s="8" t="inlineStr">
        <is>
          <t>1.10 Report</t>
        </is>
      </c>
    </row>
    <row r="18">
      <c r="A18" s="6" t="inlineStr">
        <is>
          <t>1.11</t>
        </is>
      </c>
      <c r="B18" s="7" t="inlineStr">
        <is>
          <t>SUBSTITUTE and REPLACE</t>
        </is>
      </c>
      <c r="C18" s="8" t="inlineStr">
        <is>
          <t>1.11 Data</t>
        </is>
      </c>
      <c r="D18" s="8" t="inlineStr">
        <is>
          <t>1.11 Report</t>
        </is>
      </c>
    </row>
    <row r="19">
      <c r="A19" s="6" t="inlineStr">
        <is>
          <t>1.12</t>
        </is>
      </c>
      <c r="B19" s="7" t="inlineStr">
        <is>
          <t>CONCATENATE and the Ampersand (&amp;) Operator</t>
        </is>
      </c>
      <c r="C19" s="8" t="inlineStr">
        <is>
          <t>1.12 Data</t>
        </is>
      </c>
      <c r="D19" s="8" t="inlineStr">
        <is>
          <t>1.12 Report</t>
        </is>
      </c>
    </row>
    <row r="20">
      <c r="A20" s="6" t="inlineStr">
        <is>
          <t>1.13</t>
        </is>
      </c>
      <c r="B20" s="7" t="inlineStr">
        <is>
          <t>Extracting Data from Policy Numbers and Client Codes Using Text Formulas</t>
        </is>
      </c>
      <c r="C20" s="8" t="inlineStr">
        <is>
          <t>1.13 Data</t>
        </is>
      </c>
      <c r="D20" s="8" t="inlineStr">
        <is>
          <t>1.13 Report</t>
        </is>
      </c>
    </row>
    <row r="21">
      <c r="A21" s="6" t="inlineStr">
        <is>
          <t>1.14</t>
        </is>
      </c>
      <c r="B21" s="7" t="inlineStr">
        <is>
          <t>EDATE and EOMONTH</t>
        </is>
      </c>
      <c r="C21" s="8" t="inlineStr">
        <is>
          <t>1.14 Data</t>
        </is>
      </c>
      <c r="D21" s="8" t="inlineStr">
        <is>
          <t>1.14 Report</t>
        </is>
      </c>
    </row>
    <row r="22">
      <c r="A22" s="6" t="inlineStr">
        <is>
          <t>1.15</t>
        </is>
      </c>
      <c r="B22" s="7" t="inlineStr">
        <is>
          <t>WORKDAY and WORKDAY.INTL</t>
        </is>
      </c>
      <c r="C22" s="8" t="inlineStr">
        <is>
          <t>1.15 Data</t>
        </is>
      </c>
      <c r="D22" s="8" t="inlineStr">
        <is>
          <t>1.15 Report</t>
        </is>
      </c>
    </row>
    <row r="23">
      <c r="A23" s="6" t="inlineStr">
        <is>
          <t>1.16</t>
        </is>
      </c>
      <c r="B23" s="7" t="inlineStr">
        <is>
          <t>WEEKNUM</t>
        </is>
      </c>
      <c r="C23" s="8" t="inlineStr">
        <is>
          <t>1.16 Data</t>
        </is>
      </c>
      <c r="D23" s="8" t="inlineStr">
        <is>
          <t>1.16 Report</t>
        </is>
      </c>
    </row>
    <row r="24">
      <c r="A24" s="6" t="inlineStr">
        <is>
          <t>1.17</t>
        </is>
      </c>
      <c r="B24" s="7" t="inlineStr">
        <is>
          <t>Complex Date Calculations for Policy Lifecycle and Renewal Tracking</t>
        </is>
      </c>
      <c r="C24" s="8" t="inlineStr">
        <is>
          <t>1.17 Data</t>
        </is>
      </c>
      <c r="D24" s="8" t="inlineStr">
        <is>
          <t>1.17 Report</t>
        </is>
      </c>
    </row>
    <row r="25" ht="19" customHeight="1">
      <c r="A25" s="5" t="inlineStr">
        <is>
          <t>Session 2: Array Formulas, Advanced Logic &amp; Named Ranges</t>
        </is>
      </c>
    </row>
    <row r="26">
      <c r="A26" s="6" t="inlineStr">
        <is>
          <t>2.1</t>
        </is>
      </c>
      <c r="B26" s="7" t="inlineStr">
        <is>
          <t>Understanding Array Formulas in Excel 2016</t>
        </is>
      </c>
      <c r="C26" s="8" t="inlineStr">
        <is>
          <t>2.1 Data</t>
        </is>
      </c>
      <c r="D26" s="8" t="inlineStr">
        <is>
          <t>2.1 Report</t>
        </is>
      </c>
    </row>
    <row r="27">
      <c r="A27" s="6" t="inlineStr">
        <is>
          <t>2.2</t>
        </is>
      </c>
      <c r="B27" s="7" t="inlineStr">
        <is>
          <t>Single-Cell Array Formulas for Multi-Criteria Calculations</t>
        </is>
      </c>
      <c r="C27" s="8" t="inlineStr">
        <is>
          <t>2.2 Data</t>
        </is>
      </c>
      <c r="D27" s="8" t="inlineStr">
        <is>
          <t>2.2 Report</t>
        </is>
      </c>
    </row>
    <row r="28">
      <c r="A28" s="6" t="inlineStr">
        <is>
          <t>2.3</t>
        </is>
      </c>
      <c r="B28" s="7" t="inlineStr">
        <is>
          <t>Multi-Cell Array Formulas</t>
        </is>
      </c>
      <c r="C28" s="8" t="inlineStr">
        <is>
          <t>2.3 Data</t>
        </is>
      </c>
      <c r="D28" s="8" t="inlineStr">
        <is>
          <t>2.3 Report</t>
        </is>
      </c>
    </row>
    <row r="29">
      <c r="A29" s="6" t="inlineStr">
        <is>
          <t>2.4</t>
        </is>
      </c>
      <c r="B29" s="7" t="inlineStr">
        <is>
          <t>SUM with IF Array for Conditional Totals</t>
        </is>
      </c>
      <c r="C29" s="8" t="inlineStr">
        <is>
          <t>2.4 Data</t>
        </is>
      </c>
      <c r="D29" s="8" t="inlineStr">
        <is>
          <t>2.4 Report</t>
        </is>
      </c>
    </row>
    <row r="30">
      <c r="A30" s="6" t="inlineStr">
        <is>
          <t>2.5</t>
        </is>
      </c>
      <c r="B30" s="7" t="inlineStr">
        <is>
          <t>COUNT and AVERAGE with Array Conditions</t>
        </is>
      </c>
      <c r="C30" s="8" t="inlineStr">
        <is>
          <t>2.5 Data</t>
        </is>
      </c>
      <c r="D30" s="8" t="inlineStr">
        <is>
          <t>2.5 Report</t>
        </is>
      </c>
    </row>
    <row r="31">
      <c r="A31" s="6" t="inlineStr">
        <is>
          <t>2.6</t>
        </is>
      </c>
      <c r="B31" s="7" t="inlineStr">
        <is>
          <t>Nested IF (Advanced Multi-Level Logic)</t>
        </is>
      </c>
      <c r="C31" s="8" t="inlineStr">
        <is>
          <t>2.6 Data</t>
        </is>
      </c>
      <c r="D31" s="8" t="inlineStr">
        <is>
          <t>2.6 Report</t>
        </is>
      </c>
    </row>
    <row r="32">
      <c r="A32" s="6" t="inlineStr">
        <is>
          <t>2.7</t>
        </is>
      </c>
      <c r="B32" s="7" t="inlineStr">
        <is>
          <t>AND, OR Combined with IF</t>
        </is>
      </c>
      <c r="C32" s="8" t="inlineStr">
        <is>
          <t>2.7 Data</t>
        </is>
      </c>
      <c r="D32" s="8" t="inlineStr">
        <is>
          <t>2.7 Report</t>
        </is>
      </c>
    </row>
    <row r="33">
      <c r="A33" s="6" t="inlineStr">
        <is>
          <t>2.8</t>
        </is>
      </c>
      <c r="B33" s="7" t="inlineStr">
        <is>
          <t>CHOOSE Function</t>
        </is>
      </c>
      <c r="C33" s="8" t="inlineStr">
        <is>
          <t>2.8 Data</t>
        </is>
      </c>
      <c r="D33" s="8" t="inlineStr">
        <is>
          <t>2.8 Report</t>
        </is>
      </c>
    </row>
    <row r="34">
      <c r="A34" s="6" t="inlineStr">
        <is>
          <t>2.9</t>
        </is>
      </c>
      <c r="B34" s="7" t="inlineStr">
        <is>
          <t>SUMPRODUCT for Multi-Criteria Summing and Counting</t>
        </is>
      </c>
      <c r="C34" s="8" t="inlineStr">
        <is>
          <t>2.9 Data</t>
        </is>
      </c>
      <c r="D34" s="8" t="inlineStr">
        <is>
          <t>2.9 Report</t>
        </is>
      </c>
    </row>
    <row r="35">
      <c r="A35" s="6" t="inlineStr">
        <is>
          <t>2.10</t>
        </is>
      </c>
      <c r="B35" s="7" t="inlineStr">
        <is>
          <t>SUMIFS, COUNTIFS, AVERAGEIFS (Multiple Criteria)</t>
        </is>
      </c>
      <c r="C35" s="8" t="inlineStr">
        <is>
          <t>2.10 Data</t>
        </is>
      </c>
      <c r="D35" s="8" t="inlineStr">
        <is>
          <t>2.10 Report</t>
        </is>
      </c>
    </row>
    <row r="36">
      <c r="A36" s="6" t="inlineStr">
        <is>
          <t>2.11</t>
        </is>
      </c>
      <c r="B36" s="7" t="inlineStr">
        <is>
          <t>AGGREGATE Function (Ignoring Errors and Hidden Rows)</t>
        </is>
      </c>
      <c r="C36" s="8" t="inlineStr">
        <is>
          <t>2.11 Data</t>
        </is>
      </c>
      <c r="D36" s="8" t="inlineStr">
        <is>
          <t>2.11 Report</t>
        </is>
      </c>
    </row>
    <row r="37">
      <c r="A37" s="6" t="inlineStr">
        <is>
          <t>2.12</t>
        </is>
      </c>
      <c r="B37" s="7" t="inlineStr">
        <is>
          <t>Creating and Managing Named Ranges</t>
        </is>
      </c>
      <c r="C37" s="8" t="inlineStr">
        <is>
          <t>2.12 Data</t>
        </is>
      </c>
      <c r="D37" s="8" t="inlineStr">
        <is>
          <t>2.12 Report</t>
        </is>
      </c>
    </row>
    <row r="38">
      <c r="A38" s="6" t="inlineStr">
        <is>
          <t>2.13</t>
        </is>
      </c>
      <c r="B38" s="7" t="inlineStr">
        <is>
          <t>Dynamic Named Ranges Using OFFSET and COUNTA</t>
        </is>
      </c>
      <c r="C38" s="8" t="inlineStr">
        <is>
          <t>2.13 Data</t>
        </is>
      </c>
      <c r="D38" s="8" t="inlineStr">
        <is>
          <t>2.13 Report</t>
        </is>
      </c>
    </row>
    <row r="39">
      <c r="A39" s="6" t="inlineStr">
        <is>
          <t>2.14</t>
        </is>
      </c>
      <c r="B39" s="7" t="inlineStr">
        <is>
          <t>Using Named Ranges in Formulas and Data Validation</t>
        </is>
      </c>
      <c r="C39" s="8" t="inlineStr">
        <is>
          <t>2.14 Data</t>
        </is>
      </c>
      <c r="D39" s="8" t="inlineStr">
        <is>
          <t>2.14 Report</t>
        </is>
      </c>
    </row>
    <row r="40">
      <c r="A40" s="6" t="inlineStr">
        <is>
          <t>2.15</t>
        </is>
      </c>
      <c r="B40" s="7" t="inlineStr">
        <is>
          <t>INDIRECT Function for Dynamic References</t>
        </is>
      </c>
      <c r="C40" s="8" t="inlineStr">
        <is>
          <t>2.15 Data</t>
        </is>
      </c>
      <c r="D40" s="8" t="inlineStr">
        <is>
          <t>2.15 Report</t>
        </is>
      </c>
    </row>
    <row r="41" ht="19" customHeight="1">
      <c r="A41" s="5" t="inlineStr">
        <is>
          <t>Session 3: Advanced Pivot Tables, Power Query &amp; What-If Analysis</t>
        </is>
      </c>
    </row>
    <row r="42">
      <c r="A42" s="6" t="inlineStr">
        <is>
          <t>3.1</t>
        </is>
      </c>
      <c r="B42" s="7" t="inlineStr">
        <is>
          <t>Calculated Fields and Calculated Items</t>
        </is>
      </c>
      <c r="C42" s="8" t="inlineStr">
        <is>
          <t>3.1 Data</t>
        </is>
      </c>
      <c r="D42" s="8" t="inlineStr">
        <is>
          <t>3.1 Report</t>
        </is>
      </c>
    </row>
    <row r="43">
      <c r="A43" s="6" t="inlineStr">
        <is>
          <t>3.2</t>
        </is>
      </c>
      <c r="B43" s="7" t="inlineStr">
        <is>
          <t>Grouping Data (Dates by Month/Quarter/Year, Numbers, Text)</t>
        </is>
      </c>
      <c r="C43" s="8" t="inlineStr">
        <is>
          <t>3.2 Data</t>
        </is>
      </c>
      <c r="D43" s="8" t="inlineStr">
        <is>
          <t>3.2 Report</t>
        </is>
      </c>
    </row>
    <row r="44">
      <c r="A44" s="6" t="inlineStr">
        <is>
          <t>3.3</t>
        </is>
      </c>
      <c r="B44" s="7" t="inlineStr">
        <is>
          <t>Show Values As (% of Grand Total, % of Parent, Running Total, Difference From)</t>
        </is>
      </c>
      <c r="C44" s="8" t="inlineStr">
        <is>
          <t>3.3 Data</t>
        </is>
      </c>
      <c r="D44" s="8" t="inlineStr">
        <is>
          <t>3.3 Report</t>
        </is>
      </c>
    </row>
    <row r="45">
      <c r="A45" s="6" t="inlineStr">
        <is>
          <t>3.4</t>
        </is>
      </c>
      <c r="B45" s="7" t="inlineStr">
        <is>
          <t>Slicers and Timelines Connected to Multiple Pivot Tables</t>
        </is>
      </c>
      <c r="C45" s="8" t="inlineStr">
        <is>
          <t>3.4 Data</t>
        </is>
      </c>
      <c r="D45" s="8" t="inlineStr">
        <is>
          <t>3.4 Report</t>
        </is>
      </c>
    </row>
    <row r="46">
      <c r="A46" s="6" t="inlineStr">
        <is>
          <t>3.5</t>
        </is>
      </c>
      <c r="B46" s="7" t="inlineStr">
        <is>
          <t>Pivot Table from Multiple Sheets Using Consolidation</t>
        </is>
      </c>
      <c r="C46" s="8" t="inlineStr">
        <is>
          <t>3.5 Data</t>
        </is>
      </c>
      <c r="D46" s="8" t="inlineStr">
        <is>
          <t>3.5 Report</t>
        </is>
      </c>
    </row>
    <row r="47">
      <c r="A47" s="6" t="inlineStr">
        <is>
          <t>3.6</t>
        </is>
      </c>
      <c r="B47" s="7" t="inlineStr">
        <is>
          <t>Conditional Formatting Applied to Pivot Tables</t>
        </is>
      </c>
      <c r="C47" s="8" t="inlineStr">
        <is>
          <t>3.6 Data</t>
        </is>
      </c>
      <c r="D47" s="8" t="inlineStr">
        <is>
          <t>3.6 Report</t>
        </is>
      </c>
    </row>
    <row r="48">
      <c r="A48" s="6" t="inlineStr">
        <is>
          <t>3.7</t>
        </is>
      </c>
      <c r="B48" s="7" t="inlineStr">
        <is>
          <t>Accessing Get &amp; Transform from the Data Tab in Excel 2016</t>
        </is>
      </c>
      <c r="C48" s="8" t="inlineStr">
        <is>
          <t>3.7 Data</t>
        </is>
      </c>
      <c r="D48" s="8" t="inlineStr">
        <is>
          <t>3.7 Report</t>
        </is>
      </c>
    </row>
    <row r="49">
      <c r="A49" s="6" t="inlineStr">
        <is>
          <t>3.8</t>
        </is>
      </c>
      <c r="B49" s="7" t="inlineStr">
        <is>
          <t>Importing Data from Excel, CSV and Folder Sources</t>
        </is>
      </c>
      <c r="C49" s="8" t="inlineStr">
        <is>
          <t>3.8 Data</t>
        </is>
      </c>
      <c r="D49" s="8" t="inlineStr">
        <is>
          <t>3.8 Report</t>
        </is>
      </c>
    </row>
    <row r="50">
      <c r="A50" s="6" t="inlineStr">
        <is>
          <t>3.9</t>
        </is>
      </c>
      <c r="B50" s="7" t="inlineStr">
        <is>
          <t>Transforming Data (Split Columns, Merge Columns, Replace Values, Change Data Types)</t>
        </is>
      </c>
      <c r="C50" s="8" t="inlineStr">
        <is>
          <t>3.9 Data</t>
        </is>
      </c>
      <c r="D50" s="8" t="inlineStr">
        <is>
          <t>3.9 Report</t>
        </is>
      </c>
    </row>
    <row r="51">
      <c r="A51" s="6" t="inlineStr">
        <is>
          <t>3.10</t>
        </is>
      </c>
      <c r="B51" s="7" t="inlineStr">
        <is>
          <t>Unpivoting Data for Report-Ready Format</t>
        </is>
      </c>
      <c r="C51" s="8" t="inlineStr">
        <is>
          <t>3.10 Data</t>
        </is>
      </c>
      <c r="D51" s="8" t="inlineStr">
        <is>
          <t>3.10 Report</t>
        </is>
      </c>
    </row>
    <row r="52">
      <c r="A52" s="6" t="inlineStr">
        <is>
          <t>3.11</t>
        </is>
      </c>
      <c r="B52" s="7" t="inlineStr">
        <is>
          <t>Merging and Appending Queries</t>
        </is>
      </c>
      <c r="C52" s="8" t="inlineStr">
        <is>
          <t>3.11 Data</t>
        </is>
      </c>
      <c r="D52" s="8" t="inlineStr">
        <is>
          <t>3.11 Report</t>
        </is>
      </c>
    </row>
    <row r="53">
      <c r="A53" s="6" t="inlineStr">
        <is>
          <t>3.12</t>
        </is>
      </c>
      <c r="B53" s="7" t="inlineStr">
        <is>
          <t>Loading Results to Worksheet or Pivot Table</t>
        </is>
      </c>
      <c r="C53" s="8" t="inlineStr">
        <is>
          <t>3.12 Data</t>
        </is>
      </c>
      <c r="D53" s="8" t="inlineStr">
        <is>
          <t>3.12 Report</t>
        </is>
      </c>
    </row>
    <row r="54">
      <c r="A54" s="6" t="inlineStr">
        <is>
          <t>3.13</t>
        </is>
      </c>
      <c r="B54" s="7" t="inlineStr">
        <is>
          <t>Refreshing Queries and Automating Data Updates</t>
        </is>
      </c>
      <c r="C54" s="8" t="inlineStr">
        <is>
          <t>3.13 Data</t>
        </is>
      </c>
      <c r="D54" s="8" t="inlineStr">
        <is>
          <t>3.13 Report</t>
        </is>
      </c>
    </row>
    <row r="55">
      <c r="A55" s="6" t="inlineStr">
        <is>
          <t>3.14</t>
        </is>
      </c>
      <c r="B55" s="7" t="inlineStr">
        <is>
          <t>Goal Seek (Target Premium and Break-Even Calculations)</t>
        </is>
      </c>
      <c r="C55" s="8" t="inlineStr">
        <is>
          <t>3.14 Data</t>
        </is>
      </c>
      <c r="D55" s="8" t="inlineStr">
        <is>
          <t>3.14 Report</t>
        </is>
      </c>
    </row>
    <row r="56">
      <c r="A56" s="6" t="inlineStr">
        <is>
          <t>3.15</t>
        </is>
      </c>
      <c r="B56" s="7" t="inlineStr">
        <is>
          <t>Data Tables (One-Variable and Two-Variable Sensitivity Analysis)</t>
        </is>
      </c>
      <c r="C56" s="8" t="inlineStr">
        <is>
          <t>3.15 Data</t>
        </is>
      </c>
      <c r="D56" s="8" t="inlineStr">
        <is>
          <t>3.15 Report</t>
        </is>
      </c>
    </row>
    <row r="57">
      <c r="A57" s="6" t="inlineStr">
        <is>
          <t>3.16</t>
        </is>
      </c>
      <c r="B57" s="7" t="inlineStr">
        <is>
          <t>Scenario Manager (Best Case, Worst Case, Base Case Modelling)</t>
        </is>
      </c>
      <c r="C57" s="8" t="inlineStr">
        <is>
          <t>3.16 Data</t>
        </is>
      </c>
      <c r="D57" s="8" t="inlineStr">
        <is>
          <t>3.16 Report</t>
        </is>
      </c>
    </row>
    <row r="58" ht="19" customHeight="1">
      <c r="A58" s="5" t="inlineStr">
        <is>
          <t>Session 4: Advanced Charts, Macros &amp; Workbook Management</t>
        </is>
      </c>
    </row>
    <row r="59">
      <c r="A59" s="6" t="inlineStr">
        <is>
          <t>4.1</t>
        </is>
      </c>
      <c r="B59" s="7" t="inlineStr">
        <is>
          <t>Combo Charts (Column and Line on Secondary Axis)</t>
        </is>
      </c>
      <c r="C59" s="8" t="inlineStr">
        <is>
          <t>4.1 Data</t>
        </is>
      </c>
      <c r="D59" s="8" t="inlineStr">
        <is>
          <t>4.1 Report</t>
        </is>
      </c>
    </row>
    <row r="60">
      <c r="A60" s="6" t="inlineStr">
        <is>
          <t>4.2</t>
        </is>
      </c>
      <c r="B60" s="7" t="inlineStr">
        <is>
          <t>Sparklines (Line, Column, Win/Loss)</t>
        </is>
      </c>
      <c r="C60" s="8" t="inlineStr">
        <is>
          <t>4.2 Data</t>
        </is>
      </c>
      <c r="D60" s="8" t="inlineStr">
        <is>
          <t>4.2 Report</t>
        </is>
      </c>
    </row>
    <row r="61">
      <c r="A61" s="6" t="inlineStr">
        <is>
          <t>4.3</t>
        </is>
      </c>
      <c r="B61" s="7" t="inlineStr">
        <is>
          <t>Waterfall Charts (Premium vs Claims Reconciliation)</t>
        </is>
      </c>
      <c r="C61" s="8" t="inlineStr">
        <is>
          <t>4.3 Data</t>
        </is>
      </c>
      <c r="D61" s="8" t="inlineStr">
        <is>
          <t>4.3 Report</t>
        </is>
      </c>
    </row>
    <row r="62">
      <c r="A62" s="6" t="inlineStr">
        <is>
          <t>4.4</t>
        </is>
      </c>
      <c r="B62" s="7" t="inlineStr">
        <is>
          <t>Dynamic Charts Using Named Ranges and OFFSET</t>
        </is>
      </c>
      <c r="C62" s="8" t="inlineStr">
        <is>
          <t>4.4 Data</t>
        </is>
      </c>
      <c r="D62" s="8" t="inlineStr">
        <is>
          <t>4.4 Report</t>
        </is>
      </c>
    </row>
    <row r="63">
      <c r="A63" s="6" t="inlineStr">
        <is>
          <t>4.5</t>
        </is>
      </c>
      <c r="B63" s="7" t="inlineStr">
        <is>
          <t>Formatting Charts for Executive Presentations</t>
        </is>
      </c>
      <c r="C63" s="8" t="inlineStr">
        <is>
          <t>4.5 Data</t>
        </is>
      </c>
      <c r="D63" s="8" t="inlineStr">
        <is>
          <t>4.5 Report</t>
        </is>
      </c>
    </row>
    <row r="64">
      <c r="A64" s="6" t="inlineStr">
        <is>
          <t>4.6</t>
        </is>
      </c>
      <c r="B64" s="7" t="inlineStr">
        <is>
          <t>Enabling the Developer Tab</t>
        </is>
      </c>
      <c r="C64" s="8" t="inlineStr">
        <is>
          <t>4.6 Data</t>
        </is>
      </c>
      <c r="D64" s="8" t="inlineStr">
        <is>
          <t>4.6 Report</t>
        </is>
      </c>
    </row>
    <row r="65">
      <c r="A65" s="6" t="inlineStr">
        <is>
          <t>4.7</t>
        </is>
      </c>
      <c r="B65" s="7" t="inlineStr">
        <is>
          <t>Recording a Macro (Formatting, Sorting, Report Generation)</t>
        </is>
      </c>
      <c r="C65" s="8" t="inlineStr">
        <is>
          <t>4.7 Data</t>
        </is>
      </c>
      <c r="D65" s="8" t="inlineStr">
        <is>
          <t>4.7 Report</t>
        </is>
      </c>
    </row>
    <row r="66">
      <c r="A66" s="6" t="inlineStr">
        <is>
          <t>4.8</t>
        </is>
      </c>
      <c r="B66" s="7" t="inlineStr">
        <is>
          <t>Running Macros and Assigning Macros to Buttons</t>
        </is>
      </c>
      <c r="C66" s="8" t="inlineStr">
        <is>
          <t>4.8 Data</t>
        </is>
      </c>
      <c r="D66" s="8" t="inlineStr">
        <is>
          <t>4.8 Report</t>
        </is>
      </c>
    </row>
    <row r="67">
      <c r="A67" s="6" t="inlineStr">
        <is>
          <t>4.9</t>
        </is>
      </c>
      <c r="B67" s="7" t="inlineStr">
        <is>
          <t>Viewing and Editing Basic VBA Code in the Visual Basic Editor</t>
        </is>
      </c>
      <c r="C67" s="8" t="inlineStr">
        <is>
          <t>4.9 Data</t>
        </is>
      </c>
      <c r="D67" s="8" t="inlineStr">
        <is>
          <t>4.9 Report</t>
        </is>
      </c>
    </row>
    <row r="68">
      <c r="A68" s="6" t="inlineStr">
        <is>
          <t>4.10</t>
        </is>
      </c>
      <c r="B68" s="7" t="inlineStr">
        <is>
          <t>Macro Security Settings and Trusted Locations</t>
        </is>
      </c>
      <c r="C68" s="8" t="inlineStr">
        <is>
          <t>4.10 Data</t>
        </is>
      </c>
      <c r="D68" s="8" t="inlineStr">
        <is>
          <t>4.10 Report</t>
        </is>
      </c>
    </row>
    <row r="69">
      <c r="A69" s="6" t="inlineStr">
        <is>
          <t>4.11</t>
        </is>
      </c>
      <c r="B69" s="7" t="inlineStr">
        <is>
          <t>Formula Auditing Tools (Trace Precedents, Trace Dependents, Evaluate Formula, Error Checking)</t>
        </is>
      </c>
      <c r="C69" s="8" t="inlineStr">
        <is>
          <t>4.11 Data</t>
        </is>
      </c>
      <c r="D69" s="8" t="inlineStr">
        <is>
          <t>4.11 Report</t>
        </is>
      </c>
    </row>
    <row r="70">
      <c r="A70" s="6" t="inlineStr">
        <is>
          <t>4.12</t>
        </is>
      </c>
      <c r="B70" s="7" t="inlineStr">
        <is>
          <t>Advanced Worksheet and Workbook Protection</t>
        </is>
      </c>
      <c r="C70" s="8" t="inlineStr">
        <is>
          <t>4.12 Data</t>
        </is>
      </c>
      <c r="D70" s="8" t="inlineStr">
        <is>
          <t>4.12 Report</t>
        </is>
      </c>
    </row>
    <row r="71">
      <c r="A71" s="6" t="inlineStr">
        <is>
          <t>4.13</t>
        </is>
      </c>
      <c r="B71" s="7" t="inlineStr">
        <is>
          <t>Linking Workbooks and Managing External References</t>
        </is>
      </c>
      <c r="C71" s="8" t="inlineStr">
        <is>
          <t>4.13 Data</t>
        </is>
      </c>
      <c r="D71" s="8" t="inlineStr">
        <is>
          <t>4.13 Report</t>
        </is>
      </c>
    </row>
    <row r="72">
      <c r="A72" s="6" t="inlineStr">
        <is>
          <t>4.14</t>
        </is>
      </c>
      <c r="B72" s="7" t="inlineStr">
        <is>
          <t>Data Consolidation Across Multiple Branch Files</t>
        </is>
      </c>
      <c r="C72" s="8" t="inlineStr">
        <is>
          <t>4.14 Data</t>
        </is>
      </c>
      <c r="D72" s="8" t="inlineStr">
        <is>
          <t>4.14 Report</t>
        </is>
      </c>
    </row>
    <row r="73">
      <c r="A73" s="6" t="inlineStr">
        <is>
          <t>4.15</t>
        </is>
      </c>
      <c r="B73" s="7" t="inlineStr">
        <is>
          <t>Q&amp;A and Key Takeaways — Capstone Challenge</t>
        </is>
      </c>
      <c r="C73" s="8" t="inlineStr">
        <is>
          <t>4.15 Data</t>
        </is>
      </c>
      <c r="D73" s="8" t="inlineStr">
        <is>
          <t>4.15 Report</t>
        </is>
      </c>
    </row>
  </sheetData>
  <mergeCells count="7">
    <mergeCell ref="A58:D58"/>
    <mergeCell ref="A2:E2"/>
    <mergeCell ref="A4:D4"/>
    <mergeCell ref="A7:D7"/>
    <mergeCell ref="A1:E1"/>
    <mergeCell ref="A25:D25"/>
    <mergeCell ref="A41:D41"/>
  </mergeCells>
  <hyperlinks>
    <hyperlink xmlns:r="http://schemas.openxmlformats.org/officeDocument/2006/relationships" ref="C8" r:id="rId1"/>
    <hyperlink xmlns:r="http://schemas.openxmlformats.org/officeDocument/2006/relationships" ref="D8" r:id="rId2"/>
    <hyperlink xmlns:r="http://schemas.openxmlformats.org/officeDocument/2006/relationships" ref="C9" r:id="rId3"/>
    <hyperlink xmlns:r="http://schemas.openxmlformats.org/officeDocument/2006/relationships" ref="D9" r:id="rId4"/>
    <hyperlink xmlns:r="http://schemas.openxmlformats.org/officeDocument/2006/relationships" ref="C10" r:id="rId5"/>
    <hyperlink xmlns:r="http://schemas.openxmlformats.org/officeDocument/2006/relationships" ref="D10" r:id="rId6"/>
    <hyperlink xmlns:r="http://schemas.openxmlformats.org/officeDocument/2006/relationships" ref="C11" r:id="rId7"/>
    <hyperlink xmlns:r="http://schemas.openxmlformats.org/officeDocument/2006/relationships" ref="D11" r:id="rId8"/>
    <hyperlink xmlns:r="http://schemas.openxmlformats.org/officeDocument/2006/relationships" ref="C12" r:id="rId9"/>
    <hyperlink xmlns:r="http://schemas.openxmlformats.org/officeDocument/2006/relationships" ref="D12" r:id="rId10"/>
    <hyperlink xmlns:r="http://schemas.openxmlformats.org/officeDocument/2006/relationships" ref="C13" r:id="rId11"/>
    <hyperlink xmlns:r="http://schemas.openxmlformats.org/officeDocument/2006/relationships" ref="D13" r:id="rId12"/>
    <hyperlink xmlns:r="http://schemas.openxmlformats.org/officeDocument/2006/relationships" ref="C14" r:id="rId13"/>
    <hyperlink xmlns:r="http://schemas.openxmlformats.org/officeDocument/2006/relationships" ref="D14" r:id="rId14"/>
    <hyperlink xmlns:r="http://schemas.openxmlformats.org/officeDocument/2006/relationships" ref="C15" r:id="rId15"/>
    <hyperlink xmlns:r="http://schemas.openxmlformats.org/officeDocument/2006/relationships" ref="D15" r:id="rId16"/>
    <hyperlink xmlns:r="http://schemas.openxmlformats.org/officeDocument/2006/relationships" ref="C16" r:id="rId17"/>
    <hyperlink xmlns:r="http://schemas.openxmlformats.org/officeDocument/2006/relationships" ref="D16" r:id="rId18"/>
    <hyperlink xmlns:r="http://schemas.openxmlformats.org/officeDocument/2006/relationships" ref="C17" r:id="rId19"/>
    <hyperlink xmlns:r="http://schemas.openxmlformats.org/officeDocument/2006/relationships" ref="D17" r:id="rId20"/>
    <hyperlink xmlns:r="http://schemas.openxmlformats.org/officeDocument/2006/relationships" ref="C18" r:id="rId21"/>
    <hyperlink xmlns:r="http://schemas.openxmlformats.org/officeDocument/2006/relationships" ref="D18" r:id="rId22"/>
    <hyperlink xmlns:r="http://schemas.openxmlformats.org/officeDocument/2006/relationships" ref="C19" r:id="rId23"/>
    <hyperlink xmlns:r="http://schemas.openxmlformats.org/officeDocument/2006/relationships" ref="D19" r:id="rId24"/>
    <hyperlink xmlns:r="http://schemas.openxmlformats.org/officeDocument/2006/relationships" ref="C20" r:id="rId25"/>
    <hyperlink xmlns:r="http://schemas.openxmlformats.org/officeDocument/2006/relationships" ref="D20" r:id="rId26"/>
    <hyperlink xmlns:r="http://schemas.openxmlformats.org/officeDocument/2006/relationships" ref="C21" r:id="rId27"/>
    <hyperlink xmlns:r="http://schemas.openxmlformats.org/officeDocument/2006/relationships" ref="D21" r:id="rId28"/>
    <hyperlink xmlns:r="http://schemas.openxmlformats.org/officeDocument/2006/relationships" ref="C22" r:id="rId29"/>
    <hyperlink xmlns:r="http://schemas.openxmlformats.org/officeDocument/2006/relationships" ref="D22" r:id="rId30"/>
    <hyperlink xmlns:r="http://schemas.openxmlformats.org/officeDocument/2006/relationships" ref="C23" r:id="rId31"/>
    <hyperlink xmlns:r="http://schemas.openxmlformats.org/officeDocument/2006/relationships" ref="D23" r:id="rId32"/>
    <hyperlink xmlns:r="http://schemas.openxmlformats.org/officeDocument/2006/relationships" ref="C24" r:id="rId33"/>
    <hyperlink xmlns:r="http://schemas.openxmlformats.org/officeDocument/2006/relationships" ref="D24" r:id="rId34"/>
    <hyperlink xmlns:r="http://schemas.openxmlformats.org/officeDocument/2006/relationships" ref="C26" r:id="rId35"/>
    <hyperlink xmlns:r="http://schemas.openxmlformats.org/officeDocument/2006/relationships" ref="D26" r:id="rId36"/>
    <hyperlink xmlns:r="http://schemas.openxmlformats.org/officeDocument/2006/relationships" ref="C27" r:id="rId37"/>
    <hyperlink xmlns:r="http://schemas.openxmlformats.org/officeDocument/2006/relationships" ref="D27" r:id="rId38"/>
    <hyperlink xmlns:r="http://schemas.openxmlformats.org/officeDocument/2006/relationships" ref="C28" r:id="rId39"/>
    <hyperlink xmlns:r="http://schemas.openxmlformats.org/officeDocument/2006/relationships" ref="D28" r:id="rId40"/>
    <hyperlink xmlns:r="http://schemas.openxmlformats.org/officeDocument/2006/relationships" ref="C29" r:id="rId41"/>
    <hyperlink xmlns:r="http://schemas.openxmlformats.org/officeDocument/2006/relationships" ref="D29" r:id="rId42"/>
    <hyperlink xmlns:r="http://schemas.openxmlformats.org/officeDocument/2006/relationships" ref="C30" r:id="rId43"/>
    <hyperlink xmlns:r="http://schemas.openxmlformats.org/officeDocument/2006/relationships" ref="D30" r:id="rId44"/>
    <hyperlink xmlns:r="http://schemas.openxmlformats.org/officeDocument/2006/relationships" ref="C31" r:id="rId45"/>
    <hyperlink xmlns:r="http://schemas.openxmlformats.org/officeDocument/2006/relationships" ref="D31" r:id="rId46"/>
    <hyperlink xmlns:r="http://schemas.openxmlformats.org/officeDocument/2006/relationships" ref="C32" r:id="rId47"/>
    <hyperlink xmlns:r="http://schemas.openxmlformats.org/officeDocument/2006/relationships" ref="D32" r:id="rId48"/>
    <hyperlink xmlns:r="http://schemas.openxmlformats.org/officeDocument/2006/relationships" ref="C33" r:id="rId49"/>
    <hyperlink xmlns:r="http://schemas.openxmlformats.org/officeDocument/2006/relationships" ref="D33" r:id="rId50"/>
    <hyperlink xmlns:r="http://schemas.openxmlformats.org/officeDocument/2006/relationships" ref="C34" r:id="rId51"/>
    <hyperlink xmlns:r="http://schemas.openxmlformats.org/officeDocument/2006/relationships" ref="D34" r:id="rId52"/>
    <hyperlink xmlns:r="http://schemas.openxmlformats.org/officeDocument/2006/relationships" ref="C35" r:id="rId53"/>
    <hyperlink xmlns:r="http://schemas.openxmlformats.org/officeDocument/2006/relationships" ref="D35" r:id="rId54"/>
    <hyperlink xmlns:r="http://schemas.openxmlformats.org/officeDocument/2006/relationships" ref="C36" r:id="rId55"/>
    <hyperlink xmlns:r="http://schemas.openxmlformats.org/officeDocument/2006/relationships" ref="D36" r:id="rId56"/>
    <hyperlink xmlns:r="http://schemas.openxmlformats.org/officeDocument/2006/relationships" ref="C37" r:id="rId57"/>
    <hyperlink xmlns:r="http://schemas.openxmlformats.org/officeDocument/2006/relationships" ref="D37" r:id="rId58"/>
    <hyperlink xmlns:r="http://schemas.openxmlformats.org/officeDocument/2006/relationships" ref="C38" r:id="rId59"/>
    <hyperlink xmlns:r="http://schemas.openxmlformats.org/officeDocument/2006/relationships" ref="D38" r:id="rId60"/>
    <hyperlink xmlns:r="http://schemas.openxmlformats.org/officeDocument/2006/relationships" ref="C39" r:id="rId61"/>
    <hyperlink xmlns:r="http://schemas.openxmlformats.org/officeDocument/2006/relationships" ref="D39" r:id="rId62"/>
    <hyperlink xmlns:r="http://schemas.openxmlformats.org/officeDocument/2006/relationships" ref="C40" r:id="rId63"/>
    <hyperlink xmlns:r="http://schemas.openxmlformats.org/officeDocument/2006/relationships" ref="D40" r:id="rId64"/>
    <hyperlink xmlns:r="http://schemas.openxmlformats.org/officeDocument/2006/relationships" ref="C42" r:id="rId65"/>
    <hyperlink xmlns:r="http://schemas.openxmlformats.org/officeDocument/2006/relationships" ref="D42" r:id="rId66"/>
    <hyperlink xmlns:r="http://schemas.openxmlformats.org/officeDocument/2006/relationships" ref="C43" r:id="rId67"/>
    <hyperlink xmlns:r="http://schemas.openxmlformats.org/officeDocument/2006/relationships" ref="D43" r:id="rId68"/>
    <hyperlink xmlns:r="http://schemas.openxmlformats.org/officeDocument/2006/relationships" ref="C44" r:id="rId69"/>
    <hyperlink xmlns:r="http://schemas.openxmlformats.org/officeDocument/2006/relationships" ref="D44" r:id="rId70"/>
    <hyperlink xmlns:r="http://schemas.openxmlformats.org/officeDocument/2006/relationships" ref="C45" r:id="rId71"/>
    <hyperlink xmlns:r="http://schemas.openxmlformats.org/officeDocument/2006/relationships" ref="D45" r:id="rId72"/>
    <hyperlink xmlns:r="http://schemas.openxmlformats.org/officeDocument/2006/relationships" ref="C46" r:id="rId73"/>
    <hyperlink xmlns:r="http://schemas.openxmlformats.org/officeDocument/2006/relationships" ref="D46" r:id="rId74"/>
    <hyperlink xmlns:r="http://schemas.openxmlformats.org/officeDocument/2006/relationships" ref="C47" r:id="rId75"/>
    <hyperlink xmlns:r="http://schemas.openxmlformats.org/officeDocument/2006/relationships" ref="D47" r:id="rId76"/>
    <hyperlink xmlns:r="http://schemas.openxmlformats.org/officeDocument/2006/relationships" ref="C48" r:id="rId77"/>
    <hyperlink xmlns:r="http://schemas.openxmlformats.org/officeDocument/2006/relationships" ref="D48" r:id="rId78"/>
    <hyperlink xmlns:r="http://schemas.openxmlformats.org/officeDocument/2006/relationships" ref="C49" r:id="rId79"/>
    <hyperlink xmlns:r="http://schemas.openxmlformats.org/officeDocument/2006/relationships" ref="D49" r:id="rId80"/>
    <hyperlink xmlns:r="http://schemas.openxmlformats.org/officeDocument/2006/relationships" ref="C50" r:id="rId81"/>
    <hyperlink xmlns:r="http://schemas.openxmlformats.org/officeDocument/2006/relationships" ref="D50" r:id="rId82"/>
    <hyperlink xmlns:r="http://schemas.openxmlformats.org/officeDocument/2006/relationships" ref="C51" r:id="rId83"/>
    <hyperlink xmlns:r="http://schemas.openxmlformats.org/officeDocument/2006/relationships" ref="D51" r:id="rId84"/>
    <hyperlink xmlns:r="http://schemas.openxmlformats.org/officeDocument/2006/relationships" ref="C52" r:id="rId85"/>
    <hyperlink xmlns:r="http://schemas.openxmlformats.org/officeDocument/2006/relationships" ref="D52" r:id="rId86"/>
    <hyperlink xmlns:r="http://schemas.openxmlformats.org/officeDocument/2006/relationships" ref="C53" r:id="rId87"/>
    <hyperlink xmlns:r="http://schemas.openxmlformats.org/officeDocument/2006/relationships" ref="D53" r:id="rId88"/>
    <hyperlink xmlns:r="http://schemas.openxmlformats.org/officeDocument/2006/relationships" ref="C54" r:id="rId89"/>
    <hyperlink xmlns:r="http://schemas.openxmlformats.org/officeDocument/2006/relationships" ref="D54" r:id="rId90"/>
    <hyperlink xmlns:r="http://schemas.openxmlformats.org/officeDocument/2006/relationships" ref="C55" r:id="rId91"/>
    <hyperlink xmlns:r="http://schemas.openxmlformats.org/officeDocument/2006/relationships" ref="D55" r:id="rId92"/>
    <hyperlink xmlns:r="http://schemas.openxmlformats.org/officeDocument/2006/relationships" ref="C56" r:id="rId93"/>
    <hyperlink xmlns:r="http://schemas.openxmlformats.org/officeDocument/2006/relationships" ref="D56" r:id="rId94"/>
    <hyperlink xmlns:r="http://schemas.openxmlformats.org/officeDocument/2006/relationships" ref="C57" r:id="rId95"/>
    <hyperlink xmlns:r="http://schemas.openxmlformats.org/officeDocument/2006/relationships" ref="D57" r:id="rId96"/>
    <hyperlink xmlns:r="http://schemas.openxmlformats.org/officeDocument/2006/relationships" ref="C59" r:id="rId97"/>
    <hyperlink xmlns:r="http://schemas.openxmlformats.org/officeDocument/2006/relationships" ref="D59" r:id="rId98"/>
    <hyperlink xmlns:r="http://schemas.openxmlformats.org/officeDocument/2006/relationships" ref="C60" r:id="rId99"/>
    <hyperlink xmlns:r="http://schemas.openxmlformats.org/officeDocument/2006/relationships" ref="D60" r:id="rId100"/>
    <hyperlink xmlns:r="http://schemas.openxmlformats.org/officeDocument/2006/relationships" ref="C61" r:id="rId101"/>
    <hyperlink xmlns:r="http://schemas.openxmlformats.org/officeDocument/2006/relationships" ref="D61" r:id="rId102"/>
    <hyperlink xmlns:r="http://schemas.openxmlformats.org/officeDocument/2006/relationships" ref="C62" r:id="rId103"/>
    <hyperlink xmlns:r="http://schemas.openxmlformats.org/officeDocument/2006/relationships" ref="D62" r:id="rId104"/>
    <hyperlink xmlns:r="http://schemas.openxmlformats.org/officeDocument/2006/relationships" ref="C63" r:id="rId105"/>
    <hyperlink xmlns:r="http://schemas.openxmlformats.org/officeDocument/2006/relationships" ref="D63" r:id="rId106"/>
    <hyperlink xmlns:r="http://schemas.openxmlformats.org/officeDocument/2006/relationships" ref="C64" r:id="rId107"/>
    <hyperlink xmlns:r="http://schemas.openxmlformats.org/officeDocument/2006/relationships" ref="D64" r:id="rId108"/>
    <hyperlink xmlns:r="http://schemas.openxmlformats.org/officeDocument/2006/relationships" ref="C65" r:id="rId109"/>
    <hyperlink xmlns:r="http://schemas.openxmlformats.org/officeDocument/2006/relationships" ref="D65" r:id="rId110"/>
    <hyperlink xmlns:r="http://schemas.openxmlformats.org/officeDocument/2006/relationships" ref="C66" r:id="rId111"/>
    <hyperlink xmlns:r="http://schemas.openxmlformats.org/officeDocument/2006/relationships" ref="D66" r:id="rId112"/>
    <hyperlink xmlns:r="http://schemas.openxmlformats.org/officeDocument/2006/relationships" ref="C67" r:id="rId113"/>
    <hyperlink xmlns:r="http://schemas.openxmlformats.org/officeDocument/2006/relationships" ref="D67" r:id="rId114"/>
    <hyperlink xmlns:r="http://schemas.openxmlformats.org/officeDocument/2006/relationships" ref="C68" r:id="rId115"/>
    <hyperlink xmlns:r="http://schemas.openxmlformats.org/officeDocument/2006/relationships" ref="D68" r:id="rId116"/>
    <hyperlink xmlns:r="http://schemas.openxmlformats.org/officeDocument/2006/relationships" ref="C69" r:id="rId117"/>
    <hyperlink xmlns:r="http://schemas.openxmlformats.org/officeDocument/2006/relationships" ref="D69" r:id="rId118"/>
    <hyperlink xmlns:r="http://schemas.openxmlformats.org/officeDocument/2006/relationships" ref="C70" r:id="rId119"/>
    <hyperlink xmlns:r="http://schemas.openxmlformats.org/officeDocument/2006/relationships" ref="D70" r:id="rId120"/>
    <hyperlink xmlns:r="http://schemas.openxmlformats.org/officeDocument/2006/relationships" ref="C71" r:id="rId121"/>
    <hyperlink xmlns:r="http://schemas.openxmlformats.org/officeDocument/2006/relationships" ref="D71" r:id="rId122"/>
    <hyperlink xmlns:r="http://schemas.openxmlformats.org/officeDocument/2006/relationships" ref="C72" r:id="rId123"/>
    <hyperlink xmlns:r="http://schemas.openxmlformats.org/officeDocument/2006/relationships" ref="D72" r:id="rId124"/>
    <hyperlink xmlns:r="http://schemas.openxmlformats.org/officeDocument/2006/relationships" ref="C73" r:id="rId125"/>
    <hyperlink xmlns:r="http://schemas.openxmlformats.org/officeDocument/2006/relationships" ref="D73" r:id="rId126"/>
  </hyperlink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F31"/>
  <sheetViews>
    <sheetView showGridLines="0" workbookViewId="0">
      <pane ySplit="5" topLeftCell="A6" activePane="bottomLeft" state="frozen"/>
      <selection pane="bottomLeft" activeCell="A1" sqref="A1"/>
    </sheetView>
  </sheetViews>
  <sheetFormatPr baseColWidth="8" defaultRowHeight="15"/>
  <cols>
    <col width="26" customWidth="1" min="1" max="1"/>
    <col width="42" customWidth="1" min="2" max="2"/>
    <col width="16" customWidth="1" min="3" max="3"/>
    <col width="30" customWidth="1" min="4" max="4"/>
    <col width="20" customWidth="1" min="5" max="5"/>
  </cols>
  <sheetData>
    <row r="1" ht="26" customHeight="1">
      <c r="A1" s="1" t="inlineStr">
        <is>
          <t>Dataset 1.1  —  VLOOKUP with Approximate Match and Wildcards</t>
        </is>
      </c>
    </row>
    <row r="2" ht="16" customHeight="1">
      <c r="A2" s="2" t="inlineStr">
        <is>
          <t>Session 1: Advanced Lookup, Text &amp; Date Functions | Part A: Advanced Lookup Functions   |   Adamjee Assurance Company Limited (Pakistan) — training data, figures in PKR</t>
        </is>
      </c>
    </row>
    <row r="4">
      <c r="A4" s="9" t="inlineStr">
        <is>
          <t>Table A — Motor Own-Damage Banded Rate Card (ascending order required)</t>
        </is>
      </c>
    </row>
    <row r="5" ht="30" customHeight="1">
      <c r="A5" s="10" t="inlineStr">
        <is>
          <t>Sum Insured From (PKR)</t>
        </is>
      </c>
      <c r="B5" s="10" t="inlineStr">
        <is>
          <t>Band</t>
        </is>
      </c>
      <c r="C5" s="10" t="inlineStr">
        <is>
          <t>Rate Applied</t>
        </is>
      </c>
      <c r="D5" s="10" t="inlineStr">
        <is>
          <t>No-Claim Discount</t>
        </is>
      </c>
    </row>
    <row r="6">
      <c r="A6" s="11" t="n">
        <v>0</v>
      </c>
      <c r="B6" s="7" t="inlineStr">
        <is>
          <t>Band E</t>
        </is>
      </c>
      <c r="C6" s="12" t="n">
        <v>0.0285</v>
      </c>
      <c r="D6" s="13" t="n">
        <v>0</v>
      </c>
    </row>
    <row r="7">
      <c r="A7" s="14" t="n">
        <v>2000000</v>
      </c>
      <c r="B7" s="15" t="inlineStr">
        <is>
          <t>Band D</t>
        </is>
      </c>
      <c r="C7" s="16" t="n">
        <v>0.024</v>
      </c>
      <c r="D7" s="17" t="n">
        <v>0.05</v>
      </c>
    </row>
    <row r="8">
      <c r="A8" s="11" t="n">
        <v>5000000</v>
      </c>
      <c r="B8" s="7" t="inlineStr">
        <is>
          <t>Band C</t>
        </is>
      </c>
      <c r="C8" s="12" t="n">
        <v>0.0195</v>
      </c>
      <c r="D8" s="13" t="n">
        <v>0.075</v>
      </c>
    </row>
    <row r="9">
      <c r="A9" s="14" t="n">
        <v>10000000</v>
      </c>
      <c r="B9" s="15" t="inlineStr">
        <is>
          <t>Band B</t>
        </is>
      </c>
      <c r="C9" s="16" t="n">
        <v>0.016</v>
      </c>
      <c r="D9" s="17" t="n">
        <v>0.1</v>
      </c>
    </row>
    <row r="10">
      <c r="A10" s="11" t="n">
        <v>25000000</v>
      </c>
      <c r="B10" s="7" t="inlineStr">
        <is>
          <t>Band A</t>
        </is>
      </c>
      <c r="C10" s="12" t="n">
        <v>0.0125</v>
      </c>
      <c r="D10" s="13" t="n">
        <v>0.15</v>
      </c>
    </row>
    <row r="11">
      <c r="A11" s="14" t="n">
        <v>50000000</v>
      </c>
      <c r="B11" s="15" t="inlineStr">
        <is>
          <t>Band A+</t>
        </is>
      </c>
      <c r="C11" s="16" t="n">
        <v>0.0095</v>
      </c>
      <c r="D11" s="17" t="n">
        <v>0.2</v>
      </c>
    </row>
    <row r="13">
      <c r="A13" s="9" t="inlineStr">
        <is>
          <t>Table B — Quotation Requests received at Karachi Main (UW Desk)</t>
        </is>
      </c>
    </row>
    <row r="14" ht="30" customHeight="1">
      <c r="A14" s="10" t="inlineStr">
        <is>
          <t>Quote Ref</t>
        </is>
      </c>
      <c r="B14" s="10" t="inlineStr">
        <is>
          <t>Client Name (as registered)</t>
        </is>
      </c>
      <c r="C14" s="10" t="inlineStr">
        <is>
          <t>Client Code</t>
        </is>
      </c>
      <c r="D14" s="10" t="inlineStr">
        <is>
          <t>Vehicle / Asset</t>
        </is>
      </c>
      <c r="E14" s="10" t="inlineStr">
        <is>
          <t>Sum Insured (PKR)</t>
        </is>
      </c>
    </row>
    <row r="15">
      <c r="A15" s="7" t="inlineStr">
        <is>
          <t>QT-2024-0451</t>
        </is>
      </c>
      <c r="B15" s="7" t="inlineStr">
        <is>
          <t>Gul Ahmed Textile Mills Ltd</t>
        </is>
      </c>
      <c r="C15" s="7" t="inlineStr">
        <is>
          <t>KHI-CORP-0100</t>
        </is>
      </c>
      <c r="D15" s="7" t="inlineStr">
        <is>
          <t>Toyota Hilux Revo 2023</t>
        </is>
      </c>
      <c r="E15" s="11" t="n">
        <v>8450000</v>
      </c>
    </row>
    <row r="16">
      <c r="A16" s="15" t="inlineStr">
        <is>
          <t>QT-2024-0452</t>
        </is>
      </c>
      <c r="B16" s="15" t="inlineStr">
        <is>
          <t>Lucky Cement Limited</t>
        </is>
      </c>
      <c r="C16" s="15" t="inlineStr">
        <is>
          <t>KHI-CORP-0102</t>
        </is>
      </c>
      <c r="D16" s="15" t="inlineStr">
        <is>
          <t>Fleet – 6 x Suzuki Bolan</t>
        </is>
      </c>
      <c r="E16" s="14" t="n">
        <v>4320000</v>
      </c>
    </row>
    <row r="17">
      <c r="A17" s="7" t="inlineStr">
        <is>
          <t>QT-2024-0453</t>
        </is>
      </c>
      <c r="B17" s="7" t="inlineStr">
        <is>
          <t>Ahmed Raza Qureshi</t>
        </is>
      </c>
      <c r="C17" s="7" t="inlineStr">
        <is>
          <t>KHI-INDV-0107</t>
        </is>
      </c>
      <c r="D17" s="7" t="inlineStr">
        <is>
          <t>Honda Civic Oriel 2022</t>
        </is>
      </c>
      <c r="E17" s="11" t="n">
        <v>6900000</v>
      </c>
    </row>
    <row r="18">
      <c r="A18" s="15" t="inlineStr">
        <is>
          <t>QT-2024-0454</t>
        </is>
      </c>
      <c r="B18" s="15" t="inlineStr">
        <is>
          <t>Indus Motor Company Ltd</t>
        </is>
      </c>
      <c r="C18" s="15" t="inlineStr">
        <is>
          <t>KHI-CORP-0110</t>
        </is>
      </c>
      <c r="D18" s="15" t="inlineStr">
        <is>
          <t>Executive fleet – 4 x Fortuner</t>
        </is>
      </c>
      <c r="E18" s="14" t="n">
        <v>34800000</v>
      </c>
    </row>
    <row r="19">
      <c r="A19" s="7" t="inlineStr">
        <is>
          <t>QT-2024-0455</t>
        </is>
      </c>
      <c r="B19" s="7" t="inlineStr">
        <is>
          <t>Fatima Siddiqui</t>
        </is>
      </c>
      <c r="C19" s="7" t="inlineStr">
        <is>
          <t>LHR-INDV-0113</t>
        </is>
      </c>
      <c r="D19" s="7" t="inlineStr">
        <is>
          <t>Suzuki Alto VXL 2024</t>
        </is>
      </c>
      <c r="E19" s="11" t="n">
        <v>1950000</v>
      </c>
    </row>
    <row r="20">
      <c r="A20" s="15" t="inlineStr">
        <is>
          <t>QT-2024-0456</t>
        </is>
      </c>
      <c r="B20" s="15" t="inlineStr">
        <is>
          <t>Interloop Limited</t>
        </is>
      </c>
      <c r="C20" s="15" t="inlineStr">
        <is>
          <t>FSD-CORP-0118</t>
        </is>
      </c>
      <c r="D20" s="15" t="inlineStr">
        <is>
          <t>Staff transport buses – 3 units</t>
        </is>
      </c>
      <c r="E20" s="14" t="n">
        <v>22500000</v>
      </c>
    </row>
    <row r="21">
      <c r="A21" s="7" t="inlineStr">
        <is>
          <t>QT-2024-0457</t>
        </is>
      </c>
      <c r="B21" s="7" t="inlineStr">
        <is>
          <t>K-Electric Limited</t>
        </is>
      </c>
      <c r="C21" s="7" t="inlineStr">
        <is>
          <t>KHI-CORP-0121</t>
        </is>
      </c>
      <c r="D21" s="7" t="inlineStr">
        <is>
          <t>Utility fleet – 18 vehicles</t>
        </is>
      </c>
      <c r="E21" s="11" t="n">
        <v>61200000</v>
      </c>
    </row>
    <row r="22">
      <c r="A22" s="15" t="inlineStr">
        <is>
          <t>QT-2024-0458</t>
        </is>
      </c>
      <c r="B22" s="15" t="inlineStr">
        <is>
          <t>Bilal Ahmed Khan</t>
        </is>
      </c>
      <c r="C22" s="15" t="inlineStr">
        <is>
          <t>ISB-INDV-0125</t>
        </is>
      </c>
      <c r="D22" s="15" t="inlineStr">
        <is>
          <t>Kia Sportage AWD 2023</t>
        </is>
      </c>
      <c r="E22" s="14" t="n">
        <v>9990000</v>
      </c>
    </row>
    <row r="24">
      <c r="A24" s="9" t="inlineStr">
        <is>
          <t>Table C — Partial names typed by the call centre (wildcard search list)</t>
        </is>
      </c>
    </row>
    <row r="25" ht="30" customHeight="1">
      <c r="A25" s="10" t="inlineStr">
        <is>
          <t>Search Text Entered</t>
        </is>
      </c>
      <c r="B25" s="10" t="inlineStr">
        <is>
          <t>What the agent meant</t>
        </is>
      </c>
    </row>
    <row r="26">
      <c r="A26" s="7" t="inlineStr">
        <is>
          <t>Gul Ahmed*</t>
        </is>
      </c>
      <c r="B26" s="7" t="inlineStr">
        <is>
          <t>Any client starting with Gul Ahmed</t>
        </is>
      </c>
    </row>
    <row r="27">
      <c r="A27" s="15" t="inlineStr">
        <is>
          <t>*Cement*</t>
        </is>
      </c>
      <c r="B27" s="15" t="inlineStr">
        <is>
          <t>Any client containing Cement</t>
        </is>
      </c>
    </row>
    <row r="28">
      <c r="A28" s="7" t="inlineStr">
        <is>
          <t>Interloop?Limited</t>
        </is>
      </c>
      <c r="B28" s="7" t="inlineStr">
        <is>
          <t>One unknown character between the two words</t>
        </is>
      </c>
    </row>
    <row r="29">
      <c r="A29" s="15" t="inlineStr">
        <is>
          <t>*Electric*</t>
        </is>
      </c>
      <c r="B29" s="15" t="inlineStr">
        <is>
          <t>Any client containing Electric</t>
        </is>
      </c>
    </row>
    <row r="31">
      <c r="A3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L30"/>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Motor Quotation Register — 8 quotes priced today</t>
        </is>
      </c>
    </row>
    <row r="3">
      <c r="A3" s="21" t="inlineStr">
        <is>
          <t>Prepared for:</t>
        </is>
      </c>
      <c r="B3" s="22" t="inlineStr">
        <is>
          <t>Head of Motor Underwriting, Karachi Main</t>
        </is>
      </c>
    </row>
    <row r="4">
      <c r="A4" s="21" t="inlineStr">
        <is>
          <t>Prepared by:</t>
        </is>
      </c>
      <c r="B4" s="23" t="n"/>
    </row>
    <row r="5">
      <c r="A5" s="21" t="inlineStr">
        <is>
          <t>Reporting date:</t>
        </is>
      </c>
      <c r="B5" s="22" t="inlineStr">
        <is>
          <t>As at reporting date shown on the dataset</t>
        </is>
      </c>
    </row>
    <row r="7" ht="44" customHeight="1">
      <c r="A7" s="24" t="inlineStr">
        <is>
          <t>Eight quotation requests arrived this morning and the broker has promised all eight clients a price before close of business. The rate card is banded by sum insured and none of the eight sums insured lands exactly on a band edge. The junior underwriter priced three of them by eye yesterday and got two wrong.</t>
        </is>
      </c>
    </row>
    <row r="9">
      <c r="A9" s="25" t="inlineStr">
        <is>
          <t>Source data: '1.1 Data'  (click to open)</t>
        </is>
      </c>
    </row>
    <row r="11" ht="16" customHeight="1">
      <c r="A11" s="26" t="inlineStr">
        <is>
          <t>Navy headers below = data linked live from the dataset sheet.   Gold headers = blank — build your formula here.</t>
        </is>
      </c>
    </row>
    <row r="12" ht="30" customHeight="1">
      <c r="A12" s="10" t="inlineStr">
        <is>
          <t>Quote Ref</t>
        </is>
      </c>
      <c r="B12" s="10" t="inlineStr">
        <is>
          <t>Client Name</t>
        </is>
      </c>
      <c r="C12" s="10" t="inlineStr">
        <is>
          <t>Sum Insured</t>
        </is>
      </c>
      <c r="D12" s="27" t="inlineStr">
        <is>
          <t>Band</t>
        </is>
      </c>
      <c r="E12" s="27" t="inlineStr">
        <is>
          <t>Rate Applied</t>
        </is>
      </c>
      <c r="F12" s="27" t="inlineStr">
        <is>
          <t>No-Claim Discount</t>
        </is>
      </c>
      <c r="G12" s="27" t="inlineStr">
        <is>
          <t>Gross Premium</t>
        </is>
      </c>
    </row>
    <row r="13">
      <c r="A13" s="7">
        <f>'1.1 Data'!A15</f>
        <v/>
      </c>
      <c r="B13" s="7">
        <f>'1.1 Data'!B15</f>
        <v/>
      </c>
      <c r="C13" s="11">
        <f>'1.1 Data'!E15</f>
        <v/>
      </c>
      <c r="D13" s="28" t="n"/>
      <c r="E13" s="28" t="n"/>
      <c r="F13" s="28" t="n"/>
      <c r="G13" s="28" t="n"/>
    </row>
    <row r="14">
      <c r="A14" s="15">
        <f>'1.1 Data'!A16</f>
        <v/>
      </c>
      <c r="B14" s="15">
        <f>'1.1 Data'!B16</f>
        <v/>
      </c>
      <c r="C14" s="14">
        <f>'1.1 Data'!E16</f>
        <v/>
      </c>
      <c r="D14" s="28" t="n"/>
      <c r="E14" s="28" t="n"/>
      <c r="F14" s="28" t="n"/>
      <c r="G14" s="28" t="n"/>
    </row>
    <row r="15">
      <c r="A15" s="7">
        <f>'1.1 Data'!A17</f>
        <v/>
      </c>
      <c r="B15" s="7">
        <f>'1.1 Data'!B17</f>
        <v/>
      </c>
      <c r="C15" s="11">
        <f>'1.1 Data'!E17</f>
        <v/>
      </c>
      <c r="D15" s="28" t="n"/>
      <c r="E15" s="28" t="n"/>
      <c r="F15" s="28" t="n"/>
      <c r="G15" s="28" t="n"/>
    </row>
    <row r="16">
      <c r="A16" s="15">
        <f>'1.1 Data'!A18</f>
        <v/>
      </c>
      <c r="B16" s="15">
        <f>'1.1 Data'!B18</f>
        <v/>
      </c>
      <c r="C16" s="14">
        <f>'1.1 Data'!E18</f>
        <v/>
      </c>
      <c r="D16" s="28" t="n"/>
      <c r="E16" s="28" t="n"/>
      <c r="F16" s="28" t="n"/>
      <c r="G16" s="28" t="n"/>
    </row>
    <row r="17">
      <c r="A17" s="7">
        <f>'1.1 Data'!A19</f>
        <v/>
      </c>
      <c r="B17" s="7">
        <f>'1.1 Data'!B19</f>
        <v/>
      </c>
      <c r="C17" s="11">
        <f>'1.1 Data'!E19</f>
        <v/>
      </c>
      <c r="D17" s="28" t="n"/>
      <c r="E17" s="28" t="n"/>
      <c r="F17" s="28" t="n"/>
      <c r="G17" s="28" t="n"/>
    </row>
    <row r="18">
      <c r="A18" s="15">
        <f>'1.1 Data'!A20</f>
        <v/>
      </c>
      <c r="B18" s="15">
        <f>'1.1 Data'!B20</f>
        <v/>
      </c>
      <c r="C18" s="14">
        <f>'1.1 Data'!E20</f>
        <v/>
      </c>
      <c r="D18" s="28" t="n"/>
      <c r="E18" s="28" t="n"/>
      <c r="F18" s="28" t="n"/>
      <c r="G18" s="28" t="n"/>
    </row>
    <row r="19">
      <c r="A19" s="7">
        <f>'1.1 Data'!A21</f>
        <v/>
      </c>
      <c r="B19" s="7">
        <f>'1.1 Data'!B21</f>
        <v/>
      </c>
      <c r="C19" s="11">
        <f>'1.1 Data'!E21</f>
        <v/>
      </c>
      <c r="D19" s="28" t="n"/>
      <c r="E19" s="28" t="n"/>
      <c r="F19" s="28" t="n"/>
      <c r="G19" s="28" t="n"/>
    </row>
    <row r="20">
      <c r="A20" s="15">
        <f>'1.1 Data'!A22</f>
        <v/>
      </c>
      <c r="B20" s="15">
        <f>'1.1 Data'!B22</f>
        <v/>
      </c>
      <c r="C20" s="14">
        <f>'1.1 Data'!E22</f>
        <v/>
      </c>
      <c r="D20" s="28" t="n"/>
      <c r="E20" s="28" t="n"/>
      <c r="F20" s="28" t="n"/>
      <c r="G20" s="28" t="n"/>
    </row>
    <row r="21">
      <c r="A21" s="29" t="inlineStr">
        <is>
          <t>TOTAL / RESULT</t>
        </is>
      </c>
      <c r="B21" s="30" t="n"/>
      <c r="C21" s="30" t="n"/>
      <c r="D21" s="31" t="n"/>
      <c r="E21" s="31" t="n"/>
      <c r="F21" s="31" t="n"/>
      <c r="G21" s="31" t="n"/>
    </row>
    <row r="23" ht="32" customHeight="1">
      <c r="A23"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5" ht="19" customHeight="1">
      <c r="A25" s="33" t="inlineStr">
        <is>
          <t>FURTHER REQUESTS ON THIS DATASET</t>
        </is>
      </c>
    </row>
    <row r="26" ht="20" customHeight="1">
      <c r="A26" s="34" t="inlineStr">
        <is>
          <t>#</t>
        </is>
      </c>
      <c r="B26" s="34" t="inlineStr">
        <is>
          <t>Request</t>
        </is>
      </c>
      <c r="C26" s="34" t="inlineStr">
        <is>
          <t>Requested by</t>
        </is>
      </c>
      <c r="D26" s="34" t="inlineStr">
        <is>
          <t>Report / figure required</t>
        </is>
      </c>
      <c r="E26" s="34" t="inlineStr">
        <is>
          <t>Your formula or answer</t>
        </is>
      </c>
    </row>
    <row r="27" ht="78" customHeight="1">
      <c r="A27" s="35" t="n">
        <v>1</v>
      </c>
      <c r="B27" s="36" t="inlineStr">
        <is>
          <t>Rate Card Sensitivity Note for the Underwriting Committee</t>
        </is>
      </c>
      <c r="C27" s="37" t="inlineStr">
        <is>
          <t>Chief Underwriting Officer</t>
        </is>
      </c>
      <c r="D27" s="38" t="inlineStr">
        <is>
          <t>A two-column comparison: Quote Ref | Premium at current rates | Premium at rates +0.25% | Difference | % change. One total line. The band rates must sit in cells so the Committee can type a new rate and watch the whole schedule move.</t>
        </is>
      </c>
      <c r="E27" s="39" t="n"/>
    </row>
    <row r="28" ht="91" customHeight="1">
      <c r="A28" s="35" t="n">
        <v>2</v>
      </c>
      <c r="B28" s="36" t="inlineStr">
        <is>
          <t>Call Centre Client Lookup — partial names</t>
        </is>
      </c>
      <c r="C28" s="37" t="inlineStr">
        <is>
          <t>Manager, Customer Contact Centre</t>
        </is>
      </c>
      <c r="D28" s="38" t="inlineStr">
        <is>
          <t>A lookup panel with the four search patterns down the side and these columns: Search Text | Client Name Matched | Client Code | Sum Insured on file. One formula copied down all four rows — the agent types a new pattern in the search cell and the answers appear.</t>
        </is>
      </c>
      <c r="E28" s="39" t="n"/>
    </row>
    <row r="29" ht="65" customHeight="1">
      <c r="A29" s="35" t="n">
        <v>3</v>
      </c>
      <c r="B29" s="36" t="inlineStr">
        <is>
          <t>Underwriting Exception Report — borderline sums insured</t>
        </is>
      </c>
      <c r="C29" s="37" t="inlineStr">
        <is>
          <t>Chief Underwriting Officer</t>
        </is>
      </c>
      <c r="D29" s="38" t="inlineStr">
        <is>
          <t>An exception list showing: Quote Ref | Sum Insured | Band applied | Distance to the next band up (PKR) | Flag 'Near boundary' where within 10%. Sorted with the closest to a boundary first.</t>
        </is>
      </c>
      <c r="E29" s="39" t="n"/>
    </row>
    <row r="30" ht="65" customHeight="1">
      <c r="A30" s="35" t="n">
        <v>4</v>
      </c>
      <c r="B30" s="36" t="inlineStr">
        <is>
          <t>Handover note for the new underwriting assistant</t>
        </is>
      </c>
      <c r="C30" s="37" t="inlineStr">
        <is>
          <t>Head of Motor Underwriting</t>
        </is>
      </c>
      <c r="D30" s="38" t="inlineStr">
        <is>
          <t>A five-line written note, in the yellow box, explaining: why the rate card must stay sorted ascending, what the 4th argument of VLOOKUP does, and what to check if a premium comes out obviously wrong.</t>
        </is>
      </c>
      <c r="E30" s="39" t="n"/>
    </row>
  </sheetData>
  <mergeCells count="6">
    <mergeCell ref="A2:L2"/>
    <mergeCell ref="A7:K7"/>
    <mergeCell ref="A1:L1"/>
    <mergeCell ref="A11:G11"/>
    <mergeCell ref="A25:F25"/>
    <mergeCell ref="A23:G23"/>
  </mergeCells>
  <hyperlinks>
    <hyperlink xmlns:r="http://schemas.openxmlformats.org/officeDocument/2006/relationships" ref="A9" r:id="rId1"/>
  </hyperlink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M28"/>
  <sheetViews>
    <sheetView showGridLines="0" workbookViewId="0">
      <pane ySplit="5" topLeftCell="A6" activePane="bottomLeft" state="frozen"/>
      <selection pane="bottomLeft" activeCell="A1" sqref="A1"/>
    </sheetView>
  </sheetViews>
  <sheetFormatPr baseColWidth="8" defaultRowHeight="15"/>
  <cols>
    <col width="24"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6" customHeight="1">
      <c r="A1" s="1" t="inlineStr">
        <is>
          <t>Dataset 1.2  —  HLOOKUP for Horizontal Data Tables</t>
        </is>
      </c>
    </row>
    <row r="2" ht="16" customHeight="1">
      <c r="A2" s="2" t="inlineStr">
        <is>
          <t>Session 1: Advanced Lookup, Text &amp; Date Functions | Part A: Advanced Lookup Functions   |   Adamjee Assurance Company Limited (Pakistan) — training data, figures in PKR</t>
        </is>
      </c>
    </row>
    <row r="4">
      <c r="A4" s="9" t="inlineStr">
        <is>
          <t>Table A — Gross Written Premium by Branch, 2024 (months across the top)</t>
        </is>
      </c>
    </row>
    <row r="5" ht="30" customHeight="1">
      <c r="A5" s="10" t="inlineStr">
        <is>
          <t>Branch</t>
        </is>
      </c>
      <c r="B5" s="10" t="inlineStr">
        <is>
          <t>Jan-2024</t>
        </is>
      </c>
      <c r="C5" s="10" t="inlineStr">
        <is>
          <t>Feb-2024</t>
        </is>
      </c>
      <c r="D5" s="10" t="inlineStr">
        <is>
          <t>Mar-2024</t>
        </is>
      </c>
      <c r="E5" s="10" t="inlineStr">
        <is>
          <t>Apr-2024</t>
        </is>
      </c>
      <c r="F5" s="10" t="inlineStr">
        <is>
          <t>May-2024</t>
        </is>
      </c>
      <c r="G5" s="10" t="inlineStr">
        <is>
          <t>Jun-2024</t>
        </is>
      </c>
      <c r="H5" s="10" t="inlineStr">
        <is>
          <t>Jul-2024</t>
        </is>
      </c>
      <c r="I5" s="10" t="inlineStr">
        <is>
          <t>Aug-2024</t>
        </is>
      </c>
      <c r="J5" s="10" t="inlineStr">
        <is>
          <t>Sep-2024</t>
        </is>
      </c>
      <c r="K5" s="10" t="inlineStr">
        <is>
          <t>Oct-2024</t>
        </is>
      </c>
      <c r="L5" s="10" t="inlineStr">
        <is>
          <t>Nov-2024</t>
        </is>
      </c>
      <c r="M5" s="10" t="inlineStr">
        <is>
          <t>Dec-2024</t>
        </is>
      </c>
    </row>
    <row r="6">
      <c r="A6" s="7" t="inlineStr">
        <is>
          <t>Karachi Main</t>
        </is>
      </c>
      <c r="B6" s="11" t="n">
        <v>8478000</v>
      </c>
      <c r="C6" s="11" t="n">
        <v>5658000</v>
      </c>
      <c r="D6" s="11" t="n">
        <v>13810000</v>
      </c>
      <c r="E6" s="11" t="n">
        <v>4380000</v>
      </c>
      <c r="F6" s="11" t="n">
        <v>11934000</v>
      </c>
      <c r="G6" s="11" t="n">
        <v>9160000</v>
      </c>
      <c r="H6" s="11" t="n">
        <v>4145000</v>
      </c>
      <c r="I6" s="11" t="n">
        <v>11471000</v>
      </c>
      <c r="J6" s="11" t="n">
        <v>3811000</v>
      </c>
      <c r="K6" s="11" t="n">
        <v>10268000</v>
      </c>
      <c r="L6" s="11" t="n">
        <v>4338000</v>
      </c>
      <c r="M6" s="11" t="n">
        <v>4678000</v>
      </c>
    </row>
    <row r="7">
      <c r="A7" s="15" t="inlineStr">
        <is>
          <t>Lahore Gulberg</t>
        </is>
      </c>
      <c r="B7" s="14" t="n">
        <v>10119000</v>
      </c>
      <c r="C7" s="14" t="n">
        <v>16677000</v>
      </c>
      <c r="D7" s="14" t="n">
        <v>5217000</v>
      </c>
      <c r="E7" s="14" t="n">
        <v>6838000</v>
      </c>
      <c r="F7" s="14" t="n">
        <v>13427000</v>
      </c>
      <c r="G7" s="14" t="n">
        <v>18647000</v>
      </c>
      <c r="H7" s="14" t="n">
        <v>12606000</v>
      </c>
      <c r="I7" s="14" t="n">
        <v>9665000</v>
      </c>
      <c r="J7" s="14" t="n">
        <v>19112000</v>
      </c>
      <c r="K7" s="14" t="n">
        <v>3959000</v>
      </c>
      <c r="L7" s="14" t="n">
        <v>17193000</v>
      </c>
      <c r="M7" s="14" t="n">
        <v>7920000</v>
      </c>
    </row>
    <row r="8">
      <c r="A8" s="7" t="inlineStr">
        <is>
          <t>Islamabad Blue Area</t>
        </is>
      </c>
      <c r="B8" s="11" t="n">
        <v>5551000</v>
      </c>
      <c r="C8" s="11" t="n">
        <v>5120000</v>
      </c>
      <c r="D8" s="11" t="n">
        <v>8228000</v>
      </c>
      <c r="E8" s="11" t="n">
        <v>16502000</v>
      </c>
      <c r="F8" s="11" t="n">
        <v>6145000</v>
      </c>
      <c r="G8" s="11" t="n">
        <v>12680000</v>
      </c>
      <c r="H8" s="11" t="n">
        <v>13614000</v>
      </c>
      <c r="I8" s="11" t="n">
        <v>9270000</v>
      </c>
      <c r="J8" s="11" t="n">
        <v>12128000</v>
      </c>
      <c r="K8" s="11" t="n">
        <v>4223000</v>
      </c>
      <c r="L8" s="11" t="n">
        <v>4171000</v>
      </c>
      <c r="M8" s="11" t="n">
        <v>6557000</v>
      </c>
    </row>
    <row r="9">
      <c r="A9" s="15" t="inlineStr">
        <is>
          <t>Faisalabad</t>
        </is>
      </c>
      <c r="B9" s="14" t="n">
        <v>14290000</v>
      </c>
      <c r="C9" s="14" t="n">
        <v>10169000</v>
      </c>
      <c r="D9" s="14" t="n">
        <v>8320000</v>
      </c>
      <c r="E9" s="14" t="n">
        <v>12744000</v>
      </c>
      <c r="F9" s="14" t="n">
        <v>10586000</v>
      </c>
      <c r="G9" s="14" t="n">
        <v>8086000</v>
      </c>
      <c r="H9" s="14" t="n">
        <v>16148000</v>
      </c>
      <c r="I9" s="14" t="n">
        <v>14593000</v>
      </c>
      <c r="J9" s="14" t="n">
        <v>7178000</v>
      </c>
      <c r="K9" s="14" t="n">
        <v>12563000</v>
      </c>
      <c r="L9" s="14" t="n">
        <v>11760000</v>
      </c>
      <c r="M9" s="14" t="n">
        <v>17464000</v>
      </c>
    </row>
    <row r="10">
      <c r="A10" s="7" t="inlineStr">
        <is>
          <t>Multan</t>
        </is>
      </c>
      <c r="B10" s="11" t="n">
        <v>15089000</v>
      </c>
      <c r="C10" s="11" t="n">
        <v>7893000</v>
      </c>
      <c r="D10" s="11" t="n">
        <v>19176000</v>
      </c>
      <c r="E10" s="11" t="n">
        <v>5124000</v>
      </c>
      <c r="F10" s="11" t="n">
        <v>10015000</v>
      </c>
      <c r="G10" s="11" t="n">
        <v>15541000</v>
      </c>
      <c r="H10" s="11" t="n">
        <v>5677000</v>
      </c>
      <c r="I10" s="11" t="n">
        <v>11170000</v>
      </c>
      <c r="J10" s="11" t="n">
        <v>3839000</v>
      </c>
      <c r="K10" s="11" t="n">
        <v>14091000</v>
      </c>
      <c r="L10" s="11" t="n">
        <v>15662000</v>
      </c>
      <c r="M10" s="11" t="n">
        <v>12540000</v>
      </c>
    </row>
    <row r="11">
      <c r="A11" s="15" t="inlineStr">
        <is>
          <t>Peshawar</t>
        </is>
      </c>
      <c r="B11" s="14" t="n">
        <v>17470000</v>
      </c>
      <c r="C11" s="14" t="n">
        <v>8314000</v>
      </c>
      <c r="D11" s="14" t="n">
        <v>14533000</v>
      </c>
      <c r="E11" s="14" t="n">
        <v>12888000</v>
      </c>
      <c r="F11" s="14" t="n">
        <v>12652000</v>
      </c>
      <c r="G11" s="14" t="n">
        <v>10636000</v>
      </c>
      <c r="H11" s="14" t="n">
        <v>16891000</v>
      </c>
      <c r="I11" s="14" t="n">
        <v>18598000</v>
      </c>
      <c r="J11" s="14" t="n">
        <v>10927000</v>
      </c>
      <c r="K11" s="14" t="n">
        <v>14025000</v>
      </c>
      <c r="L11" s="14" t="n">
        <v>4188000</v>
      </c>
      <c r="M11" s="14" t="n">
        <v>14634000</v>
      </c>
    </row>
    <row r="13">
      <c r="A13" s="9" t="inlineStr">
        <is>
          <t>Table B — Claims Paid by Branch, 2024 (same horizontal layout)</t>
        </is>
      </c>
    </row>
    <row r="14" ht="30" customHeight="1">
      <c r="A14" s="10" t="inlineStr">
        <is>
          <t>Branch</t>
        </is>
      </c>
      <c r="B14" s="10" t="inlineStr">
        <is>
          <t>Jan-2024</t>
        </is>
      </c>
      <c r="C14" s="10" t="inlineStr">
        <is>
          <t>Feb-2024</t>
        </is>
      </c>
      <c r="D14" s="10" t="inlineStr">
        <is>
          <t>Mar-2024</t>
        </is>
      </c>
      <c r="E14" s="10" t="inlineStr">
        <is>
          <t>Apr-2024</t>
        </is>
      </c>
      <c r="F14" s="10" t="inlineStr">
        <is>
          <t>May-2024</t>
        </is>
      </c>
      <c r="G14" s="10" t="inlineStr">
        <is>
          <t>Jun-2024</t>
        </is>
      </c>
      <c r="H14" s="10" t="inlineStr">
        <is>
          <t>Jul-2024</t>
        </is>
      </c>
      <c r="I14" s="10" t="inlineStr">
        <is>
          <t>Aug-2024</t>
        </is>
      </c>
      <c r="J14" s="10" t="inlineStr">
        <is>
          <t>Sep-2024</t>
        </is>
      </c>
      <c r="K14" s="10" t="inlineStr">
        <is>
          <t>Oct-2024</t>
        </is>
      </c>
      <c r="L14" s="10" t="inlineStr">
        <is>
          <t>Nov-2024</t>
        </is>
      </c>
      <c r="M14" s="10" t="inlineStr">
        <is>
          <t>Dec-2024</t>
        </is>
      </c>
    </row>
    <row r="15">
      <c r="A15" s="7" t="inlineStr">
        <is>
          <t>Karachi Main</t>
        </is>
      </c>
      <c r="B15" s="11" t="n">
        <v>7738000</v>
      </c>
      <c r="C15" s="11" t="n">
        <v>8827000</v>
      </c>
      <c r="D15" s="11" t="n">
        <v>6156000</v>
      </c>
      <c r="E15" s="11" t="n">
        <v>6066000</v>
      </c>
      <c r="F15" s="11" t="n">
        <v>4874000</v>
      </c>
      <c r="G15" s="11" t="n">
        <v>10967000</v>
      </c>
      <c r="H15" s="11" t="n">
        <v>3822000</v>
      </c>
      <c r="I15" s="11" t="n">
        <v>2397000</v>
      </c>
      <c r="J15" s="11" t="n">
        <v>3536000</v>
      </c>
      <c r="K15" s="11" t="n">
        <v>3530000</v>
      </c>
      <c r="L15" s="11" t="n">
        <v>4206000</v>
      </c>
      <c r="M15" s="11" t="n">
        <v>3605000</v>
      </c>
    </row>
    <row r="16">
      <c r="A16" s="15" t="inlineStr">
        <is>
          <t>Lahore Gulberg</t>
        </is>
      </c>
      <c r="B16" s="14" t="n">
        <v>1987000</v>
      </c>
      <c r="C16" s="14" t="n">
        <v>4187000</v>
      </c>
      <c r="D16" s="14" t="n">
        <v>4041000</v>
      </c>
      <c r="E16" s="14" t="n">
        <v>6649000</v>
      </c>
      <c r="F16" s="14" t="n">
        <v>2936000</v>
      </c>
      <c r="G16" s="14" t="n">
        <v>1614000</v>
      </c>
      <c r="H16" s="14" t="n">
        <v>2945000</v>
      </c>
      <c r="I16" s="14" t="n">
        <v>6378000</v>
      </c>
      <c r="J16" s="14" t="n">
        <v>4824000</v>
      </c>
      <c r="K16" s="14" t="n">
        <v>8308000</v>
      </c>
      <c r="L16" s="14" t="n">
        <v>9010000</v>
      </c>
      <c r="M16" s="14" t="n">
        <v>5085000</v>
      </c>
    </row>
    <row r="17">
      <c r="A17" s="7" t="inlineStr">
        <is>
          <t>Islamabad Blue Area</t>
        </is>
      </c>
      <c r="B17" s="11" t="n">
        <v>1903000</v>
      </c>
      <c r="C17" s="11" t="n">
        <v>8252000</v>
      </c>
      <c r="D17" s="11" t="n">
        <v>8532000</v>
      </c>
      <c r="E17" s="11" t="n">
        <v>4900000</v>
      </c>
      <c r="F17" s="11" t="n">
        <v>7548000</v>
      </c>
      <c r="G17" s="11" t="n">
        <v>3920000</v>
      </c>
      <c r="H17" s="11" t="n">
        <v>10140000</v>
      </c>
      <c r="I17" s="11" t="n">
        <v>9321000</v>
      </c>
      <c r="J17" s="11" t="n">
        <v>8898000</v>
      </c>
      <c r="K17" s="11" t="n">
        <v>10534000</v>
      </c>
      <c r="L17" s="11" t="n">
        <v>3251000</v>
      </c>
      <c r="M17" s="11" t="n">
        <v>6407000</v>
      </c>
    </row>
    <row r="18">
      <c r="A18" s="15" t="inlineStr">
        <is>
          <t>Faisalabad</t>
        </is>
      </c>
      <c r="B18" s="14" t="n">
        <v>8286000</v>
      </c>
      <c r="C18" s="14" t="n">
        <v>8994000</v>
      </c>
      <c r="D18" s="14" t="n">
        <v>4841000</v>
      </c>
      <c r="E18" s="14" t="n">
        <v>2299000</v>
      </c>
      <c r="F18" s="14" t="n">
        <v>7225000</v>
      </c>
      <c r="G18" s="14" t="n">
        <v>1956000</v>
      </c>
      <c r="H18" s="14" t="n">
        <v>8024000</v>
      </c>
      <c r="I18" s="14" t="n">
        <v>970000</v>
      </c>
      <c r="J18" s="14" t="n">
        <v>5490000</v>
      </c>
      <c r="K18" s="14" t="n">
        <v>5745000</v>
      </c>
      <c r="L18" s="14" t="n">
        <v>2109000</v>
      </c>
      <c r="M18" s="14" t="n">
        <v>5749000</v>
      </c>
    </row>
    <row r="19">
      <c r="A19" s="7" t="inlineStr">
        <is>
          <t>Multan</t>
        </is>
      </c>
      <c r="B19" s="11" t="n">
        <v>5950000</v>
      </c>
      <c r="C19" s="11" t="n">
        <v>4627000</v>
      </c>
      <c r="D19" s="11" t="n">
        <v>9952000</v>
      </c>
      <c r="E19" s="11" t="n">
        <v>9647000</v>
      </c>
      <c r="F19" s="11" t="n">
        <v>9894000</v>
      </c>
      <c r="G19" s="11" t="n">
        <v>3373000</v>
      </c>
      <c r="H19" s="11" t="n">
        <v>1161000</v>
      </c>
      <c r="I19" s="11" t="n">
        <v>4703000</v>
      </c>
      <c r="J19" s="11" t="n">
        <v>2047000</v>
      </c>
      <c r="K19" s="11" t="n">
        <v>8022000</v>
      </c>
      <c r="L19" s="11" t="n">
        <v>3555000</v>
      </c>
      <c r="M19" s="11" t="n">
        <v>2196000</v>
      </c>
    </row>
    <row r="20">
      <c r="A20" s="15" t="inlineStr">
        <is>
          <t>Peshawar</t>
        </is>
      </c>
      <c r="B20" s="14" t="n">
        <v>3765000</v>
      </c>
      <c r="C20" s="14" t="n">
        <v>4974000</v>
      </c>
      <c r="D20" s="14" t="n">
        <v>8327000</v>
      </c>
      <c r="E20" s="14" t="n">
        <v>5556000</v>
      </c>
      <c r="F20" s="14" t="n">
        <v>3941000</v>
      </c>
      <c r="G20" s="14" t="n">
        <v>7741000</v>
      </c>
      <c r="H20" s="14" t="n">
        <v>1357000</v>
      </c>
      <c r="I20" s="14" t="n">
        <v>3012000</v>
      </c>
      <c r="J20" s="14" t="n">
        <v>7843000</v>
      </c>
      <c r="K20" s="14" t="n">
        <v>8495000</v>
      </c>
      <c r="L20" s="14" t="n">
        <v>1923000</v>
      </c>
      <c r="M20" s="14" t="n">
        <v>1571000</v>
      </c>
    </row>
    <row r="22">
      <c r="A22" s="9" t="inlineStr">
        <is>
          <t>Table C — Report request parameters</t>
        </is>
      </c>
    </row>
    <row r="23" ht="30" customHeight="1">
      <c r="A23" s="10" t="inlineStr">
        <is>
          <t>Parameter</t>
        </is>
      </c>
      <c r="B23" s="10" t="inlineStr">
        <is>
          <t>Value</t>
        </is>
      </c>
    </row>
    <row r="24">
      <c r="A24" s="7" t="inlineStr">
        <is>
          <t>Reporting Month</t>
        </is>
      </c>
      <c r="B24" s="7" t="inlineStr">
        <is>
          <t>Sep-2024</t>
        </is>
      </c>
    </row>
    <row r="25">
      <c r="A25" s="15" t="inlineStr">
        <is>
          <t>Branch under review</t>
        </is>
      </c>
      <c r="B25" s="15" t="inlineStr">
        <is>
          <t>Lahore Gulberg</t>
        </is>
      </c>
    </row>
    <row r="26">
      <c r="A26" s="7" t="inlineStr">
        <is>
          <t>Comparison Month</t>
        </is>
      </c>
      <c r="B26" s="7" t="inlineStr">
        <is>
          <t>Mar-2024</t>
        </is>
      </c>
    </row>
    <row r="28">
      <c r="A28"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September Branch Premium Flash Report</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Finance publishes the monthly GWP file with months running across the top and refuses to change the layout. The CFO wants a one-page flash for September that pulls from that file automatically, because last month someone copied the August column by mistake and the flash went out with the wrong figures.</t>
        </is>
      </c>
    </row>
    <row r="9">
      <c r="A9" s="25" t="inlineStr">
        <is>
          <t>Source data: '1.2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September Branch Premium Flash Report</t>
        </is>
      </c>
      <c r="C13" s="38" t="inlineStr">
        <is>
          <t>A flash report block: Reporting Month (input cell) | Branch (input cell) | GWP | Claims Paid | Loss Ratio. All four output cells must be formulas driven by the two input cells — typing 'Oct-2024' into the month cell must refresh the entire block.</t>
        </is>
      </c>
      <c r="D13" s="37" t="inlineStr">
        <is>
          <t>Chief Financial Officer</t>
        </is>
      </c>
      <c r="E13" s="31" t="n"/>
    </row>
    <row r="14" ht="65" customHeight="1">
      <c r="A14" s="35" t="n">
        <v>2</v>
      </c>
      <c r="B14" s="36" t="inlineStr">
        <is>
          <t>Branch League Table for the Monday management call</t>
        </is>
      </c>
      <c r="C14" s="38" t="inlineStr">
        <is>
          <t>A league table with one row per branch and these columns: Branch | GWP for the selected month | Claims Paid | Loss Ratio | Rank by GWP. Driven by a single month input cell. Loss ratio formatted 0.0%.</t>
        </is>
      </c>
      <c r="D14" s="37" t="inlineStr">
        <is>
          <t>Regional Head — South</t>
        </is>
      </c>
      <c r="E14" s="31" t="n"/>
    </row>
    <row r="15" ht="52" customHeight="1">
      <c r="A15" s="35" t="n">
        <v>3</v>
      </c>
      <c r="B15" s="36" t="inlineStr">
        <is>
          <t>Month-on-Month Variance Commentary Pack</t>
        </is>
      </c>
      <c r="C15" s="38" t="inlineStr">
        <is>
          <t>A variance block: Branch | GWP Reporting Month | GWP Comparison Month | Variance (PKR) | Variance % | Direction (Up/Down/Flat). Both month names come from parameter cells.</t>
        </is>
      </c>
      <c r="D15" s="37" t="inlineStr">
        <is>
          <t>Head of Management Reporting</t>
        </is>
      </c>
      <c r="E15" s="31" t="n"/>
    </row>
    <row r="16" ht="65" customHeight="1">
      <c r="A16" s="35" t="n">
        <v>4</v>
      </c>
      <c r="B16" s="36" t="inlineStr">
        <is>
          <t>Layout risk memo to the Finance systems team</t>
        </is>
      </c>
      <c r="C16" s="38" t="inlineStr">
        <is>
          <t>A short memo, in the yellow box, stating: which formula broke, why a hard-coded row_num is fragile, the one-line fix, and when INDEX/MATCH should be used instead of HLOOKUP altogether.</t>
        </is>
      </c>
      <c r="D16" s="37" t="inlineStr">
        <is>
          <t>Head of Internal Audit</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H35"/>
  <sheetViews>
    <sheetView showGridLines="0" workbookViewId="0">
      <pane ySplit="5" topLeftCell="A6" activePane="bottomLeft" state="frozen"/>
      <selection pane="bottomLeft" activeCell="A1" sqref="A1"/>
    </sheetView>
  </sheetViews>
  <sheetFormatPr baseColWidth="8" defaultRowHeight="15"/>
  <cols>
    <col width="12" customWidth="1" min="1" max="1"/>
    <col width="24" customWidth="1" min="2" max="2"/>
    <col width="24" customWidth="1" min="3" max="3"/>
    <col width="20" customWidth="1" min="4" max="4"/>
    <col width="16" customWidth="1" min="5" max="5"/>
    <col width="14" customWidth="1" min="6" max="6"/>
    <col width="18" customWidth="1" min="7" max="7"/>
    <col width="20" customWidth="1" min="8" max="8"/>
  </cols>
  <sheetData>
    <row r="1" ht="26" customHeight="1">
      <c r="A1" s="1" t="inlineStr">
        <is>
          <t>Dataset 1.3  —  INDEX and MATCH (Single Criteria Lookup)</t>
        </is>
      </c>
    </row>
    <row r="2" ht="16" customHeight="1">
      <c r="A2" s="2" t="inlineStr">
        <is>
          <t>Session 1: Advanced Lookup, Text &amp; Date Functions | Part A: Advanced Lookup Functions   |   Adamjee Assurance Company Limited (Pakistan) — training data, figures in PKR</t>
        </is>
      </c>
    </row>
    <row r="4">
      <c r="A4" s="9" t="inlineStr">
        <is>
          <t>Table A — Policy Master Extract (Client Code deliberately placed left of Policy No)</t>
        </is>
      </c>
    </row>
    <row r="5" ht="30" customHeight="1">
      <c r="A5" s="10" t="inlineStr">
        <is>
          <t>Client Code</t>
        </is>
      </c>
      <c r="B5" s="10" t="inlineStr">
        <is>
          <t>Policy No</t>
        </is>
      </c>
      <c r="C5" s="10" t="inlineStr">
        <is>
          <t>Client Name</t>
        </is>
      </c>
      <c r="D5" s="10" t="inlineStr">
        <is>
          <t>Branch</t>
        </is>
      </c>
      <c r="E5" s="10" t="inlineStr">
        <is>
          <t>Product</t>
        </is>
      </c>
      <c r="F5" s="10" t="inlineStr">
        <is>
          <t>Expiry Date</t>
        </is>
      </c>
      <c r="G5" s="10" t="inlineStr">
        <is>
          <t>Sum Insured (PKR)</t>
        </is>
      </c>
      <c r="H5" s="10" t="inlineStr">
        <is>
          <t>Gross Premium (PKR)</t>
        </is>
      </c>
    </row>
    <row r="6">
      <c r="A6" s="7" t="inlineStr">
        <is>
          <t>KHI-CORP-0100</t>
        </is>
      </c>
      <c r="B6" s="7" t="inlineStr">
        <is>
          <t>ADM-FIR-KHI-2024-1001</t>
        </is>
      </c>
      <c r="C6" s="7" t="inlineStr">
        <is>
          <t>Gul Ahmed Textile Mills Ltd</t>
        </is>
      </c>
      <c r="D6" s="7" t="inlineStr">
        <is>
          <t>Karachi Main</t>
        </is>
      </c>
      <c r="E6" s="7" t="inlineStr">
        <is>
          <t>Fire &amp; Property</t>
        </is>
      </c>
      <c r="F6" s="40" t="n">
        <v>45896</v>
      </c>
      <c r="G6" s="11" t="n">
        <v>4500000</v>
      </c>
      <c r="H6" s="11" t="n">
        <v>96000</v>
      </c>
    </row>
    <row r="7">
      <c r="A7" s="15" t="inlineStr">
        <is>
          <t>LHR-CORP-0101</t>
        </is>
      </c>
      <c r="B7" s="15" t="inlineStr">
        <is>
          <t>ADM-TRV-LHR-2024-1002</t>
        </is>
      </c>
      <c r="C7" s="15" t="inlineStr">
        <is>
          <t>Packages Limited</t>
        </is>
      </c>
      <c r="D7" s="15" t="inlineStr">
        <is>
          <t>Lahore Gulberg</t>
        </is>
      </c>
      <c r="E7" s="15" t="inlineStr">
        <is>
          <t>Travel</t>
        </is>
      </c>
      <c r="F7" s="41" t="n">
        <v>45865</v>
      </c>
      <c r="G7" s="14" t="n">
        <v>12000000</v>
      </c>
      <c r="H7" s="14" t="n">
        <v>201000</v>
      </c>
    </row>
    <row r="8">
      <c r="A8" s="7" t="inlineStr">
        <is>
          <t>ISB-INDV-0102</t>
        </is>
      </c>
      <c r="B8" s="7" t="inlineStr">
        <is>
          <t>ADM-MTR-ISB-2024-1003</t>
        </is>
      </c>
      <c r="C8" s="7" t="inlineStr">
        <is>
          <t>Bilal Ahmed Khan</t>
        </is>
      </c>
      <c r="D8" s="7" t="inlineStr">
        <is>
          <t>Islamabad Blue Area</t>
        </is>
      </c>
      <c r="E8" s="7" t="inlineStr">
        <is>
          <t>Motor</t>
        </is>
      </c>
      <c r="F8" s="40" t="n">
        <v>45868</v>
      </c>
      <c r="G8" s="11" t="n">
        <v>65000000</v>
      </c>
      <c r="H8" s="11" t="n">
        <v>1397000</v>
      </c>
    </row>
    <row r="9">
      <c r="A9" s="15" t="inlineStr">
        <is>
          <t>FSD-CORP-0103</t>
        </is>
      </c>
      <c r="B9" s="15" t="inlineStr">
        <is>
          <t>ADM-HLT-FSD-2024-1004</t>
        </is>
      </c>
      <c r="C9" s="15" t="inlineStr">
        <is>
          <t>Attock Refinery Limited</t>
        </is>
      </c>
      <c r="D9" s="15" t="inlineStr">
        <is>
          <t>Faisalabad</t>
        </is>
      </c>
      <c r="E9" s="15" t="inlineStr">
        <is>
          <t>Health</t>
        </is>
      </c>
      <c r="F9" s="41" t="n">
        <v>45934</v>
      </c>
      <c r="G9" s="14" t="n">
        <v>18500000</v>
      </c>
      <c r="H9" s="14" t="n">
        <v>305000</v>
      </c>
    </row>
    <row r="10">
      <c r="A10" s="7" t="inlineStr">
        <is>
          <t>MUL-CORP-0104</t>
        </is>
      </c>
      <c r="B10" s="7" t="inlineStr">
        <is>
          <t>ADM-MSC-MUL-2024-1005</t>
        </is>
      </c>
      <c r="C10" s="7" t="inlineStr">
        <is>
          <t>Descon Engineering Ltd</t>
        </is>
      </c>
      <c r="D10" s="7" t="inlineStr">
        <is>
          <t>Multan</t>
        </is>
      </c>
      <c r="E10" s="7" t="inlineStr">
        <is>
          <t>Miscellaneous</t>
        </is>
      </c>
      <c r="F10" s="40" t="n">
        <v>45895</v>
      </c>
      <c r="G10" s="11" t="n">
        <v>4500000</v>
      </c>
      <c r="H10" s="11" t="n">
        <v>75000</v>
      </c>
    </row>
    <row r="11">
      <c r="A11" s="15" t="inlineStr">
        <is>
          <t>PEW-INDV-0105</t>
        </is>
      </c>
      <c r="B11" s="15" t="inlineStr">
        <is>
          <t>ADM-MAR-PEW-2024-1006</t>
        </is>
      </c>
      <c r="C11" s="15" t="inlineStr">
        <is>
          <t>Hina Farooq</t>
        </is>
      </c>
      <c r="D11" s="15" t="inlineStr">
        <is>
          <t>Peshawar</t>
        </is>
      </c>
      <c r="E11" s="15" t="inlineStr">
        <is>
          <t>Marine Cargo</t>
        </is>
      </c>
      <c r="F11" s="41" t="n">
        <v>45834</v>
      </c>
      <c r="G11" s="14" t="n">
        <v>25000000</v>
      </c>
      <c r="H11" s="14" t="n">
        <v>380000</v>
      </c>
    </row>
    <row r="12">
      <c r="A12" s="7" t="inlineStr">
        <is>
          <t>QTA-CORP-0106</t>
        </is>
      </c>
      <c r="B12" s="7" t="inlineStr">
        <is>
          <t>ADM-ENG-QTA-2024-1007</t>
        </is>
      </c>
      <c r="C12" s="7" t="inlineStr">
        <is>
          <t>Indus Motor Company Ltd</t>
        </is>
      </c>
      <c r="D12" s="7" t="inlineStr">
        <is>
          <t>Quetta</t>
        </is>
      </c>
      <c r="E12" s="7" t="inlineStr">
        <is>
          <t>Engineering</t>
        </is>
      </c>
      <c r="F12" s="40" t="n">
        <v>45855</v>
      </c>
      <c r="G12" s="11" t="n">
        <v>18500000</v>
      </c>
      <c r="H12" s="11" t="n">
        <v>227000</v>
      </c>
    </row>
    <row r="13">
      <c r="A13" s="15" t="inlineStr">
        <is>
          <t>HYD-CORP-0107</t>
        </is>
      </c>
      <c r="B13" s="15" t="inlineStr">
        <is>
          <t>ADM-FIR-HYD-2024-1008</t>
        </is>
      </c>
      <c r="C13" s="15" t="inlineStr">
        <is>
          <t>Nishat Mills Limited</t>
        </is>
      </c>
      <c r="D13" s="15" t="inlineStr">
        <is>
          <t>Hyderabad</t>
        </is>
      </c>
      <c r="E13" s="15" t="inlineStr">
        <is>
          <t>Fire &amp; Property</t>
        </is>
      </c>
      <c r="F13" s="41" t="n">
        <v>45874</v>
      </c>
      <c r="G13" s="14" t="n">
        <v>25000000</v>
      </c>
      <c r="H13" s="14" t="n">
        <v>290000</v>
      </c>
    </row>
    <row r="14">
      <c r="A14" s="7" t="inlineStr">
        <is>
          <t>SKT-INDV-0108</t>
        </is>
      </c>
      <c r="B14" s="7" t="inlineStr">
        <is>
          <t>ADM-TRV-SKT-2024-1009</t>
        </is>
      </c>
      <c r="C14" s="7" t="inlineStr">
        <is>
          <t>Imran Aslam Sheikh</t>
        </is>
      </c>
      <c r="D14" s="7" t="inlineStr">
        <is>
          <t>Sialkot</t>
        </is>
      </c>
      <c r="E14" s="7" t="inlineStr">
        <is>
          <t>Travel</t>
        </is>
      </c>
      <c r="F14" s="40" t="n">
        <v>45773</v>
      </c>
      <c r="G14" s="11" t="n">
        <v>7500000</v>
      </c>
      <c r="H14" s="11" t="n">
        <v>37000</v>
      </c>
    </row>
    <row r="15">
      <c r="A15" s="15" t="inlineStr">
        <is>
          <t>RWP-CORP-0109</t>
        </is>
      </c>
      <c r="B15" s="15" t="inlineStr">
        <is>
          <t>ADM-MTR-RWP-2024-1010</t>
        </is>
      </c>
      <c r="C15" s="15" t="inlineStr">
        <is>
          <t>Engro Polymer &amp; Chemicals</t>
        </is>
      </c>
      <c r="D15" s="15" t="inlineStr">
        <is>
          <t>Rawalpindi</t>
        </is>
      </c>
      <c r="E15" s="15" t="inlineStr">
        <is>
          <t>Motor</t>
        </is>
      </c>
      <c r="F15" s="41" t="n">
        <v>45788</v>
      </c>
      <c r="G15" s="14" t="n">
        <v>65000000</v>
      </c>
      <c r="H15" s="14" t="n">
        <v>760000</v>
      </c>
    </row>
    <row r="16">
      <c r="A16" s="7" t="inlineStr">
        <is>
          <t>KHI-CORP-0110</t>
        </is>
      </c>
      <c r="B16" s="7" t="inlineStr">
        <is>
          <t>ADM-HLT-KHI-2024-1011</t>
        </is>
      </c>
      <c r="C16" s="7" t="inlineStr">
        <is>
          <t>Interloop Limited</t>
        </is>
      </c>
      <c r="D16" s="7" t="inlineStr">
        <is>
          <t>Karachi Main</t>
        </is>
      </c>
      <c r="E16" s="7" t="inlineStr">
        <is>
          <t>Health</t>
        </is>
      </c>
      <c r="F16" s="40" t="n">
        <v>45871</v>
      </c>
      <c r="G16" s="11" t="n">
        <v>90000000</v>
      </c>
      <c r="H16" s="11" t="n">
        <v>603000</v>
      </c>
    </row>
    <row r="17">
      <c r="A17" s="15" t="inlineStr">
        <is>
          <t>LHR-INDV-0111</t>
        </is>
      </c>
      <c r="B17" s="15" t="inlineStr">
        <is>
          <t>ADM-MSC-LHR-2024-1012</t>
        </is>
      </c>
      <c r="C17" s="15" t="inlineStr">
        <is>
          <t>Mehwish Anwar</t>
        </is>
      </c>
      <c r="D17" s="15" t="inlineStr">
        <is>
          <t>Lahore Gulberg</t>
        </is>
      </c>
      <c r="E17" s="15" t="inlineStr">
        <is>
          <t>Miscellaneous</t>
        </is>
      </c>
      <c r="F17" s="41" t="n">
        <v>45776</v>
      </c>
      <c r="G17" s="14" t="n">
        <v>40000000</v>
      </c>
      <c r="H17" s="14" t="n">
        <v>512000</v>
      </c>
    </row>
    <row r="18">
      <c r="A18" s="7" t="inlineStr">
        <is>
          <t>ISB-CORP-0112</t>
        </is>
      </c>
      <c r="B18" s="7" t="inlineStr">
        <is>
          <t>ADM-MAR-ISB-2024-1013</t>
        </is>
      </c>
      <c r="C18" s="7" t="inlineStr">
        <is>
          <t>Millat Tractors Limited</t>
        </is>
      </c>
      <c r="D18" s="7" t="inlineStr">
        <is>
          <t>Islamabad Blue Area</t>
        </is>
      </c>
      <c r="E18" s="7" t="inlineStr">
        <is>
          <t>Marine Cargo</t>
        </is>
      </c>
      <c r="F18" s="40" t="n">
        <v>45908</v>
      </c>
      <c r="G18" s="11" t="n">
        <v>90000000</v>
      </c>
      <c r="H18" s="11" t="n">
        <v>2169000</v>
      </c>
    </row>
    <row r="19">
      <c r="A19" s="15" t="inlineStr">
        <is>
          <t>FSD-CORP-0113</t>
        </is>
      </c>
      <c r="B19" s="15" t="inlineStr">
        <is>
          <t>ADM-ENG-FSD-2024-1014</t>
        </is>
      </c>
      <c r="C19" s="15" t="inlineStr">
        <is>
          <t>K-Electric Limited</t>
        </is>
      </c>
      <c r="D19" s="15" t="inlineStr">
        <is>
          <t>Faisalabad</t>
        </is>
      </c>
      <c r="E19" s="15" t="inlineStr">
        <is>
          <t>Engineering</t>
        </is>
      </c>
      <c r="F19" s="41" t="n">
        <v>45854</v>
      </c>
      <c r="G19" s="14" t="n">
        <v>90000000</v>
      </c>
      <c r="H19" s="14" t="n">
        <v>1089000</v>
      </c>
    </row>
    <row r="20">
      <c r="A20" s="7" t="inlineStr">
        <is>
          <t>MUL-INDV-0114</t>
        </is>
      </c>
      <c r="B20" s="7" t="inlineStr">
        <is>
          <t>ADM-FIR-MUL-2024-1015</t>
        </is>
      </c>
      <c r="C20" s="7" t="inlineStr">
        <is>
          <t>Adnan Shahid Malik</t>
        </is>
      </c>
      <c r="D20" s="7" t="inlineStr">
        <is>
          <t>Multan</t>
        </is>
      </c>
      <c r="E20" s="7" t="inlineStr">
        <is>
          <t>Fire &amp; Property</t>
        </is>
      </c>
      <c r="F20" s="40" t="n">
        <v>45723</v>
      </c>
      <c r="G20" s="11" t="n">
        <v>18500000</v>
      </c>
      <c r="H20" s="11" t="n">
        <v>484000</v>
      </c>
    </row>
    <row r="21">
      <c r="A21" s="15" t="inlineStr">
        <is>
          <t>PEW-CORP-0115</t>
        </is>
      </c>
      <c r="B21" s="15" t="inlineStr">
        <is>
          <t>ADM-TRV-PEW-2024-1016</t>
        </is>
      </c>
      <c r="C21" s="15" t="inlineStr">
        <is>
          <t>Sapphire Fibres Limited</t>
        </is>
      </c>
      <c r="D21" s="15" t="inlineStr">
        <is>
          <t>Peshawar</t>
        </is>
      </c>
      <c r="E21" s="15" t="inlineStr">
        <is>
          <t>Travel</t>
        </is>
      </c>
      <c r="F21" s="41" t="n">
        <v>45689</v>
      </c>
      <c r="G21" s="14" t="n">
        <v>2800000</v>
      </c>
      <c r="H21" s="14" t="n">
        <v>74000</v>
      </c>
    </row>
    <row r="22">
      <c r="A22" s="7" t="inlineStr">
        <is>
          <t>QTA-CORP-0116</t>
        </is>
      </c>
      <c r="B22" s="7" t="inlineStr">
        <is>
          <t>ADM-MTR-QTA-2024-1017</t>
        </is>
      </c>
      <c r="C22" s="7" t="inlineStr">
        <is>
          <t>Archroma Pakistan Ltd</t>
        </is>
      </c>
      <c r="D22" s="7" t="inlineStr">
        <is>
          <t>Quetta</t>
        </is>
      </c>
      <c r="E22" s="7" t="inlineStr">
        <is>
          <t>Motor</t>
        </is>
      </c>
      <c r="F22" s="40" t="n">
        <v>45733</v>
      </c>
      <c r="G22" s="11" t="n">
        <v>40000000</v>
      </c>
      <c r="H22" s="11" t="n">
        <v>835000</v>
      </c>
    </row>
    <row r="23">
      <c r="A23" s="15" t="inlineStr">
        <is>
          <t>HYD-INDV-0117</t>
        </is>
      </c>
      <c r="B23" s="15" t="inlineStr">
        <is>
          <t>ADM-HLT-HYD-2024-1018</t>
        </is>
      </c>
      <c r="C23" s="15" t="inlineStr">
        <is>
          <t>Tehmina Riaz</t>
        </is>
      </c>
      <c r="D23" s="15" t="inlineStr">
        <is>
          <t>Hyderabad</t>
        </is>
      </c>
      <c r="E23" s="15" t="inlineStr">
        <is>
          <t>Health</t>
        </is>
      </c>
      <c r="F23" s="41" t="n">
        <v>45697</v>
      </c>
      <c r="G23" s="14" t="n">
        <v>7500000</v>
      </c>
      <c r="H23" s="14" t="n">
        <v>174000</v>
      </c>
    </row>
    <row r="24">
      <c r="A24" s="7" t="inlineStr">
        <is>
          <t>SKT-CORP-0118</t>
        </is>
      </c>
      <c r="B24" s="7" t="inlineStr">
        <is>
          <t>ADM-MSC-SKT-2024-1019</t>
        </is>
      </c>
      <c r="C24" s="7" t="inlineStr">
        <is>
          <t>Searle Pakistan Limited</t>
        </is>
      </c>
      <c r="D24" s="7" t="inlineStr">
        <is>
          <t>Sialkot</t>
        </is>
      </c>
      <c r="E24" s="7" t="inlineStr">
        <is>
          <t>Miscellaneous</t>
        </is>
      </c>
      <c r="F24" s="40" t="n">
        <v>45892</v>
      </c>
      <c r="G24" s="11" t="n">
        <v>90000000</v>
      </c>
      <c r="H24" s="11" t="n">
        <v>927000</v>
      </c>
    </row>
    <row r="25">
      <c r="A25" s="15" t="inlineStr">
        <is>
          <t>RWP-CORP-0119</t>
        </is>
      </c>
      <c r="B25" s="15" t="inlineStr">
        <is>
          <t>ADM-MAR-RWP-2024-1020</t>
        </is>
      </c>
      <c r="C25" s="15" t="inlineStr">
        <is>
          <t>Thal Limited</t>
        </is>
      </c>
      <c r="D25" s="15" t="inlineStr">
        <is>
          <t>Rawalpindi</t>
        </is>
      </c>
      <c r="E25" s="15" t="inlineStr">
        <is>
          <t>Marine Cargo</t>
        </is>
      </c>
      <c r="F25" s="41" t="n">
        <v>45868</v>
      </c>
      <c r="G25" s="14" t="n">
        <v>7500000</v>
      </c>
      <c r="H25" s="14" t="n">
        <v>181000</v>
      </c>
    </row>
    <row r="27">
      <c r="A27" s="9" t="inlineStr">
        <is>
          <t>Table B — Servicing queue (policy numbers received from branches)</t>
        </is>
      </c>
    </row>
    <row r="28" ht="30" customHeight="1">
      <c r="A28" s="10" t="inlineStr">
        <is>
          <t>Query Ref</t>
        </is>
      </c>
      <c r="B28" s="10" t="inlineStr">
        <is>
          <t>Policy No</t>
        </is>
      </c>
      <c r="C28" s="10" t="inlineStr">
        <is>
          <t>Query Type</t>
        </is>
      </c>
    </row>
    <row r="29">
      <c r="A29" s="7" t="inlineStr">
        <is>
          <t>SRV-1001</t>
        </is>
      </c>
      <c r="B29" s="7" t="inlineStr">
        <is>
          <t>ADM-HLT-FSD-2024-1004</t>
        </is>
      </c>
      <c r="C29" s="7" t="inlineStr">
        <is>
          <t>Premium confirmation</t>
        </is>
      </c>
    </row>
    <row r="30">
      <c r="A30" s="15" t="inlineStr">
        <is>
          <t>SRV-1002</t>
        </is>
      </c>
      <c r="B30" s="15" t="inlineStr">
        <is>
          <t>ADM-MSC-LHR-2024-1012</t>
        </is>
      </c>
      <c r="C30" s="15" t="inlineStr">
        <is>
          <t>Expiry confirmation</t>
        </is>
      </c>
    </row>
    <row r="31">
      <c r="A31" s="7" t="inlineStr">
        <is>
          <t>SRV-1003</t>
        </is>
      </c>
      <c r="B31" s="7" t="inlineStr">
        <is>
          <t>ADM-FIR-HYD-2024-1008</t>
        </is>
      </c>
      <c r="C31" s="7" t="inlineStr">
        <is>
          <t>Client code required</t>
        </is>
      </c>
    </row>
    <row r="32">
      <c r="A32" s="15" t="inlineStr">
        <is>
          <t>SRV-1004</t>
        </is>
      </c>
      <c r="B32" s="15" t="inlineStr">
        <is>
          <t>ADM-MSC-SKT-2024-1019</t>
        </is>
      </c>
      <c r="C32" s="15" t="inlineStr">
        <is>
          <t>Branch transfer</t>
        </is>
      </c>
    </row>
    <row r="33">
      <c r="A33" s="7" t="inlineStr">
        <is>
          <t>SRV-1005</t>
        </is>
      </c>
      <c r="B33" s="7" t="inlineStr">
        <is>
          <t>ADM-FIR-KHI-2024-1001</t>
        </is>
      </c>
      <c r="C33" s="7" t="inlineStr">
        <is>
          <t>Sum insured endorsement</t>
        </is>
      </c>
    </row>
    <row r="35">
      <c r="A3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C00000"/>
    <outlinePr summaryBelow="1" summaryRight="1"/>
    <pageSetUpPr/>
  </sheetPr>
  <dimension ref="A1:L26"/>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Policy Servicing Queue — daily response file</t>
        </is>
      </c>
    </row>
    <row r="3">
      <c r="A3" s="21" t="inlineStr">
        <is>
          <t>Prepared for:</t>
        </is>
      </c>
      <c r="B3" s="22" t="inlineStr">
        <is>
          <t>Manager, Policy Servicing</t>
        </is>
      </c>
    </row>
    <row r="4">
      <c r="A4" s="21" t="inlineStr">
        <is>
          <t>Prepared by:</t>
        </is>
      </c>
      <c r="B4" s="23" t="n"/>
    </row>
    <row r="5">
      <c r="A5" s="21" t="inlineStr">
        <is>
          <t>Reporting date:</t>
        </is>
      </c>
      <c r="B5" s="22" t="inlineStr">
        <is>
          <t>As at reporting date shown on the dataset</t>
        </is>
      </c>
    </row>
    <row r="7" ht="44" customHeight="1">
      <c r="A7" s="24" t="inlineStr">
        <is>
          <t>Five branch queries came in overnight, each quoting only a policy number. The team currently opens the master file and scrolls to each one by hand, which takes about ten minutes per query and is the main reason the 24-hour service standard was missed eleven times last month.</t>
        </is>
      </c>
    </row>
    <row r="9">
      <c r="A9" s="25" t="inlineStr">
        <is>
          <t>Source data: '1.3 Data'  (click to open)</t>
        </is>
      </c>
    </row>
    <row r="11" ht="16" customHeight="1">
      <c r="A11" s="26" t="inlineStr">
        <is>
          <t>Navy headers below = data linked live from the dataset sheet.   Gold headers = blank — build your formula here.</t>
        </is>
      </c>
    </row>
    <row r="12" ht="30" customHeight="1">
      <c r="A12" s="10" t="inlineStr">
        <is>
          <t>Query Ref</t>
        </is>
      </c>
      <c r="B12" s="10" t="inlineStr">
        <is>
          <t>Policy No</t>
        </is>
      </c>
      <c r="C12" s="27" t="inlineStr">
        <is>
          <t>Client Name</t>
        </is>
      </c>
      <c r="D12" s="27" t="inlineStr">
        <is>
          <t>Client Code</t>
        </is>
      </c>
      <c r="E12" s="27" t="inlineStr">
        <is>
          <t>Branch</t>
        </is>
      </c>
      <c r="F12" s="27" t="inlineStr">
        <is>
          <t>Expiry Date</t>
        </is>
      </c>
      <c r="G12" s="27" t="inlineStr">
        <is>
          <t>Sum Insured</t>
        </is>
      </c>
      <c r="H12" s="27" t="inlineStr">
        <is>
          <t>Gross Premium</t>
        </is>
      </c>
    </row>
    <row r="13">
      <c r="A13" s="7">
        <f>'1.3 Data'!A29</f>
        <v/>
      </c>
      <c r="B13" s="7">
        <f>'1.3 Data'!B29</f>
        <v/>
      </c>
      <c r="C13" s="28" t="n"/>
      <c r="D13" s="28" t="n"/>
      <c r="E13" s="28" t="n"/>
      <c r="F13" s="28" t="n"/>
      <c r="G13" s="28" t="n"/>
      <c r="H13" s="28" t="n"/>
    </row>
    <row r="14">
      <c r="A14" s="15">
        <f>'1.3 Data'!A30</f>
        <v/>
      </c>
      <c r="B14" s="15">
        <f>'1.3 Data'!B30</f>
        <v/>
      </c>
      <c r="C14" s="28" t="n"/>
      <c r="D14" s="28" t="n"/>
      <c r="E14" s="28" t="n"/>
      <c r="F14" s="28" t="n"/>
      <c r="G14" s="28" t="n"/>
      <c r="H14" s="28" t="n"/>
    </row>
    <row r="15">
      <c r="A15" s="7">
        <f>'1.3 Data'!A31</f>
        <v/>
      </c>
      <c r="B15" s="7">
        <f>'1.3 Data'!B31</f>
        <v/>
      </c>
      <c r="C15" s="28" t="n"/>
      <c r="D15" s="28" t="n"/>
      <c r="E15" s="28" t="n"/>
      <c r="F15" s="28" t="n"/>
      <c r="G15" s="28" t="n"/>
      <c r="H15" s="28" t="n"/>
    </row>
    <row r="16">
      <c r="A16" s="15">
        <f>'1.3 Data'!A32</f>
        <v/>
      </c>
      <c r="B16" s="15">
        <f>'1.3 Data'!B32</f>
        <v/>
      </c>
      <c r="C16" s="28" t="n"/>
      <c r="D16" s="28" t="n"/>
      <c r="E16" s="28" t="n"/>
      <c r="F16" s="28" t="n"/>
      <c r="G16" s="28" t="n"/>
      <c r="H16" s="28" t="n"/>
    </row>
    <row r="17">
      <c r="A17" s="7">
        <f>'1.3 Data'!A33</f>
        <v/>
      </c>
      <c r="B17" s="7">
        <f>'1.3 Data'!B33</f>
        <v/>
      </c>
      <c r="C17" s="28" t="n"/>
      <c r="D17" s="28" t="n"/>
      <c r="E17" s="28" t="n"/>
      <c r="F17" s="28" t="n"/>
      <c r="G17" s="28" t="n"/>
      <c r="H17" s="28" t="n"/>
    </row>
    <row r="18">
      <c r="A18" s="29" t="inlineStr">
        <is>
          <t>TOTAL / RESULT</t>
        </is>
      </c>
      <c r="B18" s="30" t="n"/>
      <c r="C18" s="31" t="n"/>
      <c r="D18" s="31" t="n"/>
      <c r="E18" s="31" t="n"/>
      <c r="F18" s="31" t="n"/>
      <c r="G18" s="31" t="n"/>
      <c r="H18" s="31" t="n"/>
    </row>
    <row r="20" ht="32" customHeight="1">
      <c r="A20"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2" ht="19" customHeight="1">
      <c r="A22" s="33" t="inlineStr">
        <is>
          <t>FURTHER REQUESTS ON THIS DATASET</t>
        </is>
      </c>
    </row>
    <row r="23" ht="20" customHeight="1">
      <c r="A23" s="34" t="inlineStr">
        <is>
          <t>#</t>
        </is>
      </c>
      <c r="B23" s="34" t="inlineStr">
        <is>
          <t>Request</t>
        </is>
      </c>
      <c r="C23" s="34" t="inlineStr">
        <is>
          <t>Requested by</t>
        </is>
      </c>
      <c r="D23" s="34" t="inlineStr">
        <is>
          <t>Report / figure required</t>
        </is>
      </c>
      <c r="E23" s="34" t="inlineStr">
        <is>
          <t>Your formula or answer</t>
        </is>
      </c>
    </row>
    <row r="24" ht="91" customHeight="1">
      <c r="A24" s="35" t="n">
        <v>1</v>
      </c>
      <c r="B24" s="36" t="inlineStr">
        <is>
          <t>Endorsement confirmation letter data</t>
        </is>
      </c>
      <c r="C24" s="37" t="inlineStr">
        <is>
          <t>Branch Manager, Karachi Main</t>
        </is>
      </c>
      <c r="D24" s="38" t="inlineStr">
        <is>
          <t>A single-row data block feeding the letter: Client Name | Client Code | Policy No | Product | Current Sum Insured | Expiry Date. Each field a formula keyed off the policy number in one cell, so changing that one cell produces the next client's letter.</t>
        </is>
      </c>
      <c r="E24" s="39" t="n"/>
    </row>
    <row r="25" ht="78" customHeight="1">
      <c r="A25" s="35" t="n">
        <v>2</v>
      </c>
      <c r="B25" s="36" t="inlineStr">
        <is>
          <t>Servicing Turnaround Dashboard — named range version</t>
        </is>
      </c>
      <c r="C25" s="37" t="inlineStr">
        <is>
          <t>Head of Operations</t>
        </is>
      </c>
      <c r="D25" s="38" t="inlineStr">
        <is>
          <t>The same response file rebuilt using named ranges (Policy_No, Client_Name, Gross_Premium and so on) instead of cell addresses, plus a one-line note confirming the results are identical to the address-based version.</t>
        </is>
      </c>
      <c r="E25" s="39" t="n"/>
    </row>
    <row r="26" ht="78" customHeight="1">
      <c r="A26" s="35" t="n">
        <v>3</v>
      </c>
      <c r="B26" s="36" t="inlineStr">
        <is>
          <t>Data integrity check before the file goes back to branches</t>
        </is>
      </c>
      <c r="C26" s="37" t="inlineStr">
        <is>
          <t>Head of Internal Audit</t>
        </is>
      </c>
      <c r="D26" s="38" t="inlineStr">
        <is>
          <t>A validation column: Match Type Used | Row Position Returned | Status ('Exact match confirmed' or 'Check'). Plus a one-line explanation of what MATCH's third argument was set to and what would happen at 1.</t>
        </is>
      </c>
      <c r="E26" s="39" t="n"/>
    </row>
  </sheetData>
  <mergeCells count="6">
    <mergeCell ref="A2:L2"/>
    <mergeCell ref="A20:H20"/>
    <mergeCell ref="A7:K7"/>
    <mergeCell ref="A1:L1"/>
    <mergeCell ref="A22:F22"/>
    <mergeCell ref="A11:H11"/>
  </mergeCells>
  <hyperlinks>
    <hyperlink xmlns:r="http://schemas.openxmlformats.org/officeDocument/2006/relationships" ref="A9" r:id="rId1"/>
  </hyperlinks>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H35"/>
  <sheetViews>
    <sheetView showGridLines="0" workbookViewId="0">
      <pane ySplit="5" topLeftCell="A6" activePane="bottomLeft" state="frozen"/>
      <selection pane="bottomLeft" activeCell="A1" sqref="A1"/>
    </sheetView>
  </sheetViews>
  <sheetFormatPr baseColWidth="8" defaultRowHeight="15"/>
  <cols>
    <col width="20" customWidth="1" min="1" max="1"/>
    <col width="22" customWidth="1" min="2" max="2"/>
    <col width="15" customWidth="1" min="3" max="3"/>
    <col width="15" customWidth="1" min="4" max="4"/>
    <col width="15" customWidth="1" min="5" max="5"/>
    <col width="15" customWidth="1" min="6" max="6"/>
    <col width="15" customWidth="1" min="7" max="7"/>
    <col width="15" customWidth="1" min="8" max="8"/>
  </cols>
  <sheetData>
    <row r="1" ht="26" customHeight="1">
      <c r="A1" s="1" t="inlineStr">
        <is>
          <t>Dataset 1.4  —  INDEX and MATCH (Two-Way Lookup)</t>
        </is>
      </c>
    </row>
    <row r="2" ht="16" customHeight="1">
      <c r="A2" s="2" t="inlineStr">
        <is>
          <t>Session 1: Advanced Lookup, Text &amp; Date Functions | Part A: Advanced Lookup Functions   |   Adamjee Assurance Company Limited (Pakistan) — training data, figures in PKR</t>
        </is>
      </c>
    </row>
    <row r="4">
      <c r="A4" s="9" t="inlineStr">
        <is>
          <t>Table A — Gross Written Premium 2024, Branch (rows) x Product (columns), PKR</t>
        </is>
      </c>
    </row>
    <row r="5" ht="30" customHeight="1">
      <c r="A5" s="10" t="inlineStr">
        <is>
          <t>Branch</t>
        </is>
      </c>
      <c r="B5" s="10" t="inlineStr">
        <is>
          <t>Motor</t>
        </is>
      </c>
      <c r="C5" s="10" t="inlineStr">
        <is>
          <t>Fire &amp; Property</t>
        </is>
      </c>
      <c r="D5" s="10" t="inlineStr">
        <is>
          <t>Marine Cargo</t>
        </is>
      </c>
      <c r="E5" s="10" t="inlineStr">
        <is>
          <t>Health</t>
        </is>
      </c>
      <c r="F5" s="10" t="inlineStr">
        <is>
          <t>Travel</t>
        </is>
      </c>
      <c r="G5" s="10" t="inlineStr">
        <is>
          <t>Engineering</t>
        </is>
      </c>
      <c r="H5" s="10" t="inlineStr">
        <is>
          <t>Miscellaneous</t>
        </is>
      </c>
    </row>
    <row r="6">
      <c r="A6" s="7" t="inlineStr">
        <is>
          <t>Karachi Main</t>
        </is>
      </c>
      <c r="B6" s="11" t="n">
        <v>8344000</v>
      </c>
      <c r="C6" s="11" t="n">
        <v>12892000</v>
      </c>
      <c r="D6" s="11" t="n">
        <v>8101000</v>
      </c>
      <c r="E6" s="11" t="n">
        <v>7888000</v>
      </c>
      <c r="F6" s="11" t="n">
        <v>2473000</v>
      </c>
      <c r="G6" s="11" t="n">
        <v>6011000</v>
      </c>
      <c r="H6" s="11" t="n">
        <v>17784000</v>
      </c>
    </row>
    <row r="7">
      <c r="A7" s="15" t="inlineStr">
        <is>
          <t>Lahore Gulberg</t>
        </is>
      </c>
      <c r="B7" s="14" t="n">
        <v>12007000</v>
      </c>
      <c r="C7" s="14" t="n">
        <v>6810000</v>
      </c>
      <c r="D7" s="14" t="n">
        <v>15984000</v>
      </c>
      <c r="E7" s="14" t="n">
        <v>8354000</v>
      </c>
      <c r="F7" s="14" t="n">
        <v>8703000</v>
      </c>
      <c r="G7" s="14" t="n">
        <v>4393000</v>
      </c>
      <c r="H7" s="14" t="n">
        <v>13413000</v>
      </c>
    </row>
    <row r="8">
      <c r="A8" s="7" t="inlineStr">
        <is>
          <t>Islamabad Blue Area</t>
        </is>
      </c>
      <c r="B8" s="11" t="n">
        <v>13497000</v>
      </c>
      <c r="C8" s="11" t="n">
        <v>9086000</v>
      </c>
      <c r="D8" s="11" t="n">
        <v>4640000</v>
      </c>
      <c r="E8" s="11" t="n">
        <v>9170000</v>
      </c>
      <c r="F8" s="11" t="n">
        <v>15357000</v>
      </c>
      <c r="G8" s="11" t="n">
        <v>18314000</v>
      </c>
      <c r="H8" s="11" t="n">
        <v>5663000</v>
      </c>
    </row>
    <row r="9">
      <c r="A9" s="15" t="inlineStr">
        <is>
          <t>Faisalabad</t>
        </is>
      </c>
      <c r="B9" s="14" t="n">
        <v>22522000</v>
      </c>
      <c r="C9" s="14" t="n">
        <v>19592000</v>
      </c>
      <c r="D9" s="14" t="n">
        <v>13301000</v>
      </c>
      <c r="E9" s="14" t="n">
        <v>23640000</v>
      </c>
      <c r="F9" s="14" t="n">
        <v>3472000</v>
      </c>
      <c r="G9" s="14" t="n">
        <v>12220000</v>
      </c>
      <c r="H9" s="14" t="n">
        <v>7205000</v>
      </c>
    </row>
    <row r="10">
      <c r="A10" s="7" t="inlineStr">
        <is>
          <t>Multan</t>
        </is>
      </c>
      <c r="B10" s="11" t="n">
        <v>2425000</v>
      </c>
      <c r="C10" s="11" t="n">
        <v>5760000</v>
      </c>
      <c r="D10" s="11" t="n">
        <v>4235000</v>
      </c>
      <c r="E10" s="11" t="n">
        <v>9483000</v>
      </c>
      <c r="F10" s="11" t="n">
        <v>11513000</v>
      </c>
      <c r="G10" s="11" t="n">
        <v>18303000</v>
      </c>
      <c r="H10" s="11" t="n">
        <v>21853000</v>
      </c>
    </row>
    <row r="11">
      <c r="A11" s="15" t="inlineStr">
        <is>
          <t>Peshawar</t>
        </is>
      </c>
      <c r="B11" s="14" t="n">
        <v>4046000</v>
      </c>
      <c r="C11" s="14" t="n">
        <v>20673000</v>
      </c>
      <c r="D11" s="14" t="n">
        <v>11464000</v>
      </c>
      <c r="E11" s="14" t="n">
        <v>1358000</v>
      </c>
      <c r="F11" s="14" t="n">
        <v>16554000</v>
      </c>
      <c r="G11" s="14" t="n">
        <v>20109000</v>
      </c>
      <c r="H11" s="14" t="n">
        <v>13079000</v>
      </c>
    </row>
    <row r="12">
      <c r="A12" s="7" t="inlineStr">
        <is>
          <t>Quetta</t>
        </is>
      </c>
      <c r="B12" s="11" t="n">
        <v>17499000</v>
      </c>
      <c r="C12" s="11" t="n">
        <v>18867000</v>
      </c>
      <c r="D12" s="11" t="n">
        <v>5816000</v>
      </c>
      <c r="E12" s="11" t="n">
        <v>20252000</v>
      </c>
      <c r="F12" s="11" t="n">
        <v>12794000</v>
      </c>
      <c r="G12" s="11" t="n">
        <v>16694000</v>
      </c>
      <c r="H12" s="11" t="n">
        <v>23047000</v>
      </c>
    </row>
    <row r="13">
      <c r="A13" s="15" t="inlineStr">
        <is>
          <t>Hyderabad</t>
        </is>
      </c>
      <c r="B13" s="14" t="n">
        <v>12490000</v>
      </c>
      <c r="C13" s="14" t="n">
        <v>10235000</v>
      </c>
      <c r="D13" s="14" t="n">
        <v>11525000</v>
      </c>
      <c r="E13" s="14" t="n">
        <v>6239000</v>
      </c>
      <c r="F13" s="14" t="n">
        <v>2208000</v>
      </c>
      <c r="G13" s="14" t="n">
        <v>17135000</v>
      </c>
      <c r="H13" s="14" t="n">
        <v>11433000</v>
      </c>
    </row>
    <row r="14">
      <c r="A14" s="7" t="inlineStr">
        <is>
          <t>Sialkot</t>
        </is>
      </c>
      <c r="B14" s="11" t="n">
        <v>16248000</v>
      </c>
      <c r="C14" s="11" t="n">
        <v>13181000</v>
      </c>
      <c r="D14" s="11" t="n">
        <v>2928000</v>
      </c>
      <c r="E14" s="11" t="n">
        <v>7310000</v>
      </c>
      <c r="F14" s="11" t="n">
        <v>19592000</v>
      </c>
      <c r="G14" s="11" t="n">
        <v>3867000</v>
      </c>
      <c r="H14" s="11" t="n">
        <v>15522000</v>
      </c>
    </row>
    <row r="15">
      <c r="A15" s="15" t="inlineStr">
        <is>
          <t>Rawalpindi</t>
        </is>
      </c>
      <c r="B15" s="14" t="n">
        <v>13409000</v>
      </c>
      <c r="C15" s="14" t="n">
        <v>9436000</v>
      </c>
      <c r="D15" s="14" t="n">
        <v>8661000</v>
      </c>
      <c r="E15" s="14" t="n">
        <v>19270000</v>
      </c>
      <c r="F15" s="14" t="n">
        <v>15087000</v>
      </c>
      <c r="G15" s="14" t="n">
        <v>12038000</v>
      </c>
      <c r="H15" s="14" t="n">
        <v>18244000</v>
      </c>
    </row>
    <row r="17">
      <c r="A17" s="9" t="inlineStr">
        <is>
          <t>Table B — Claims Paid 2024, Branch (rows) x Product (columns), PKR</t>
        </is>
      </c>
    </row>
    <row r="18" ht="30" customHeight="1">
      <c r="A18" s="10" t="inlineStr">
        <is>
          <t>Branch</t>
        </is>
      </c>
      <c r="B18" s="10" t="inlineStr">
        <is>
          <t>Motor</t>
        </is>
      </c>
      <c r="C18" s="10" t="inlineStr">
        <is>
          <t>Fire &amp; Property</t>
        </is>
      </c>
      <c r="D18" s="10" t="inlineStr">
        <is>
          <t>Marine Cargo</t>
        </is>
      </c>
      <c r="E18" s="10" t="inlineStr">
        <is>
          <t>Health</t>
        </is>
      </c>
      <c r="F18" s="10" t="inlineStr">
        <is>
          <t>Travel</t>
        </is>
      </c>
      <c r="G18" s="10" t="inlineStr">
        <is>
          <t>Engineering</t>
        </is>
      </c>
      <c r="H18" s="10" t="inlineStr">
        <is>
          <t>Miscellaneous</t>
        </is>
      </c>
    </row>
    <row r="19">
      <c r="A19" s="7" t="inlineStr">
        <is>
          <t>Karachi Main</t>
        </is>
      </c>
      <c r="B19" s="11" t="n">
        <v>11109000</v>
      </c>
      <c r="C19" s="11" t="n">
        <v>11296000</v>
      </c>
      <c r="D19" s="11" t="n">
        <v>3983000</v>
      </c>
      <c r="E19" s="11" t="n">
        <v>5818000</v>
      </c>
      <c r="F19" s="11" t="n">
        <v>11580000</v>
      </c>
      <c r="G19" s="11" t="n">
        <v>7108000</v>
      </c>
      <c r="H19" s="11" t="n">
        <v>3751000</v>
      </c>
    </row>
    <row r="20">
      <c r="A20" s="15" t="inlineStr">
        <is>
          <t>Lahore Gulberg</t>
        </is>
      </c>
      <c r="B20" s="14" t="n">
        <v>1743000</v>
      </c>
      <c r="C20" s="14" t="n">
        <v>3647000</v>
      </c>
      <c r="D20" s="14" t="n">
        <v>7438000</v>
      </c>
      <c r="E20" s="14" t="n">
        <v>12995000</v>
      </c>
      <c r="F20" s="14" t="n">
        <v>10006000</v>
      </c>
      <c r="G20" s="14" t="n">
        <v>6118000</v>
      </c>
      <c r="H20" s="14" t="n">
        <v>10598000</v>
      </c>
    </row>
    <row r="21">
      <c r="A21" s="7" t="inlineStr">
        <is>
          <t>Islamabad Blue Area</t>
        </is>
      </c>
      <c r="B21" s="11" t="n">
        <v>2805000</v>
      </c>
      <c r="C21" s="11" t="n">
        <v>11269000</v>
      </c>
      <c r="D21" s="11" t="n">
        <v>3924000</v>
      </c>
      <c r="E21" s="11" t="n">
        <v>1677000</v>
      </c>
      <c r="F21" s="11" t="n">
        <v>2444000</v>
      </c>
      <c r="G21" s="11" t="n">
        <v>3365000</v>
      </c>
      <c r="H21" s="11" t="n">
        <v>12545000</v>
      </c>
    </row>
    <row r="22">
      <c r="A22" s="15" t="inlineStr">
        <is>
          <t>Faisalabad</t>
        </is>
      </c>
      <c r="B22" s="14" t="n">
        <v>3975000</v>
      </c>
      <c r="C22" s="14" t="n">
        <v>1247000</v>
      </c>
      <c r="D22" s="14" t="n">
        <v>13522000</v>
      </c>
      <c r="E22" s="14" t="n">
        <v>11843000</v>
      </c>
      <c r="F22" s="14" t="n">
        <v>3654000</v>
      </c>
      <c r="G22" s="14" t="n">
        <v>12623000</v>
      </c>
      <c r="H22" s="14" t="n">
        <v>13699000</v>
      </c>
    </row>
    <row r="23">
      <c r="A23" s="7" t="inlineStr">
        <is>
          <t>Multan</t>
        </is>
      </c>
      <c r="B23" s="11" t="n">
        <v>1345000</v>
      </c>
      <c r="C23" s="11" t="n">
        <v>5307000</v>
      </c>
      <c r="D23" s="11" t="n">
        <v>2546000</v>
      </c>
      <c r="E23" s="11" t="n">
        <v>5170000</v>
      </c>
      <c r="F23" s="11" t="n">
        <v>11021000</v>
      </c>
      <c r="G23" s="11" t="n">
        <v>11352000</v>
      </c>
      <c r="H23" s="11" t="n">
        <v>8158000</v>
      </c>
    </row>
    <row r="24">
      <c r="A24" s="15" t="inlineStr">
        <is>
          <t>Peshawar</t>
        </is>
      </c>
      <c r="B24" s="14" t="n">
        <v>10677000</v>
      </c>
      <c r="C24" s="14" t="n">
        <v>6177000</v>
      </c>
      <c r="D24" s="14" t="n">
        <v>8770000</v>
      </c>
      <c r="E24" s="14" t="n">
        <v>3550000</v>
      </c>
      <c r="F24" s="14" t="n">
        <v>698000</v>
      </c>
      <c r="G24" s="14" t="n">
        <v>10846000</v>
      </c>
      <c r="H24" s="14" t="n">
        <v>10732000</v>
      </c>
    </row>
    <row r="25">
      <c r="A25" s="7" t="inlineStr">
        <is>
          <t>Quetta</t>
        </is>
      </c>
      <c r="B25" s="11" t="n">
        <v>5061000</v>
      </c>
      <c r="C25" s="11" t="n">
        <v>7744000</v>
      </c>
      <c r="D25" s="11" t="n">
        <v>6553000</v>
      </c>
      <c r="E25" s="11" t="n">
        <v>12674000</v>
      </c>
      <c r="F25" s="11" t="n">
        <v>5261000</v>
      </c>
      <c r="G25" s="11" t="n">
        <v>1000000</v>
      </c>
      <c r="H25" s="11" t="n">
        <v>3084000</v>
      </c>
    </row>
    <row r="26">
      <c r="A26" s="15" t="inlineStr">
        <is>
          <t>Hyderabad</t>
        </is>
      </c>
      <c r="B26" s="14" t="n">
        <v>1135000</v>
      </c>
      <c r="C26" s="14" t="n">
        <v>10949000</v>
      </c>
      <c r="D26" s="14" t="n">
        <v>6545000</v>
      </c>
      <c r="E26" s="14" t="n">
        <v>11015000</v>
      </c>
      <c r="F26" s="14" t="n">
        <v>1384000</v>
      </c>
      <c r="G26" s="14" t="n">
        <v>239000</v>
      </c>
      <c r="H26" s="14" t="n">
        <v>1306000</v>
      </c>
    </row>
    <row r="27">
      <c r="A27" s="7" t="inlineStr">
        <is>
          <t>Sialkot</t>
        </is>
      </c>
      <c r="B27" s="11" t="n">
        <v>11527000</v>
      </c>
      <c r="C27" s="11" t="n">
        <v>8888000</v>
      </c>
      <c r="D27" s="11" t="n">
        <v>3097000</v>
      </c>
      <c r="E27" s="11" t="n">
        <v>9878000</v>
      </c>
      <c r="F27" s="11" t="n">
        <v>3390000</v>
      </c>
      <c r="G27" s="11" t="n">
        <v>11634000</v>
      </c>
      <c r="H27" s="11" t="n">
        <v>13313000</v>
      </c>
    </row>
    <row r="28">
      <c r="A28" s="15" t="inlineStr">
        <is>
          <t>Rawalpindi</t>
        </is>
      </c>
      <c r="B28" s="14" t="n">
        <v>8216000</v>
      </c>
      <c r="C28" s="14" t="n">
        <v>10831000</v>
      </c>
      <c r="D28" s="14" t="n">
        <v>5962000</v>
      </c>
      <c r="E28" s="14" t="n">
        <v>7486000</v>
      </c>
      <c r="F28" s="14" t="n">
        <v>5498000</v>
      </c>
      <c r="G28" s="14" t="n">
        <v>3874000</v>
      </c>
      <c r="H28" s="14" t="n">
        <v>11521000</v>
      </c>
    </row>
    <row r="30">
      <c r="A30" s="9" t="inlineStr">
        <is>
          <t>Table C — Query cell inputs</t>
        </is>
      </c>
    </row>
    <row r="31" ht="30" customHeight="1">
      <c r="A31" s="10" t="inlineStr">
        <is>
          <t>Parameter</t>
        </is>
      </c>
      <c r="B31" s="10" t="inlineStr">
        <is>
          <t>Value</t>
        </is>
      </c>
    </row>
    <row r="32">
      <c r="A32" s="7" t="inlineStr">
        <is>
          <t>Branch</t>
        </is>
      </c>
      <c r="B32" s="7" t="inlineStr">
        <is>
          <t>Multan</t>
        </is>
      </c>
    </row>
    <row r="33">
      <c r="A33" s="15" t="inlineStr">
        <is>
          <t>Product</t>
        </is>
      </c>
      <c r="B33" s="15" t="inlineStr">
        <is>
          <t>Marine Cargo</t>
        </is>
      </c>
    </row>
    <row r="35">
      <c r="A3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Branch x Product Premium Query Panel</t>
        </is>
      </c>
    </row>
    <row r="3">
      <c r="A3" s="21" t="inlineStr">
        <is>
          <t>Prepared for:</t>
        </is>
      </c>
      <c r="B3" s="22" t="inlineStr">
        <is>
          <t>Regional Head — Central</t>
        </is>
      </c>
    </row>
    <row r="4">
      <c r="A4" s="21" t="inlineStr">
        <is>
          <t>Prepared by:</t>
        </is>
      </c>
      <c r="B4" s="23" t="n"/>
    </row>
    <row r="5">
      <c r="A5" s="21" t="inlineStr">
        <is>
          <t>Reporting date:</t>
        </is>
      </c>
      <c r="B5" s="22" t="inlineStr">
        <is>
          <t>As at reporting date shown on the dataset</t>
        </is>
      </c>
    </row>
    <row r="7" ht="44" customHeight="1">
      <c r="A7" s="24" t="inlineStr">
        <is>
          <t>The Regional Head keeps a printed Branch x Product grid on his desk and reads the wrong cell about once a week because the grid is seven columns wide and ten rows deep. He has asked for a single query cell instead.</t>
        </is>
      </c>
    </row>
    <row r="9">
      <c r="A9" s="25" t="inlineStr">
        <is>
          <t>Source data: '1.4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Branch x Product Premium Query Panel</t>
        </is>
      </c>
      <c r="C13" s="38" t="inlineStr">
        <is>
          <t>A query panel at the top of the report: two input cells (Branch, Product) and three output cells (GWP, Claims Paid, Loss Ratio). Changing either input must refresh all three outputs. Loss ratio formatted 0.0%.</t>
        </is>
      </c>
      <c r="D13" s="37" t="inlineStr">
        <is>
          <t>Regional Head — Central</t>
        </is>
      </c>
      <c r="E13" s="31" t="n"/>
    </row>
    <row r="14" ht="65" customHeight="1">
      <c r="A14" s="35" t="n">
        <v>2</v>
      </c>
      <c r="B14" s="36" t="inlineStr">
        <is>
          <t>Error-proofing the panel before it goes to the Regional Heads</t>
        </is>
      </c>
      <c r="C14" s="38" t="inlineStr">
        <is>
          <t>The same panel with: drop-down lists on both input cells sourced from the row and column labels, and every output wrapped so an invalid entry reads 'Not found' rather than an error code.</t>
        </is>
      </c>
      <c r="D14" s="37" t="inlineStr">
        <is>
          <t>Head of MIS</t>
        </is>
      </c>
      <c r="E14" s="31" t="n"/>
    </row>
    <row r="15" ht="65" customHeight="1">
      <c r="A15" s="35" t="n">
        <v>3</v>
      </c>
      <c r="B15" s="36" t="inlineStr">
        <is>
          <t>Worst-Performing Product Line — quarterly underwriting review</t>
        </is>
      </c>
      <c r="C15" s="38" t="inlineStr">
        <is>
          <t>A ranked table: Product | Total GWP | Total Claims | Loss Ratio | Rank (1 = worst). Plus a single highlighted cell naming the single worst Branch/Product combination in the whole grid and its loss ratio.</t>
        </is>
      </c>
      <c r="D15" s="37" t="inlineStr">
        <is>
          <t>Chief Underwriting Officer</t>
        </is>
      </c>
      <c r="E15" s="31" t="n"/>
    </row>
    <row r="16" ht="52" customHeight="1">
      <c r="A16" s="35" t="n">
        <v>4</v>
      </c>
      <c r="B16" s="36" t="inlineStr">
        <is>
          <t>Portfolio Steering Note</t>
        </is>
      </c>
      <c r="C16" s="38" t="inlineStr">
        <is>
          <t>A three-line written recommendation in the yellow box naming the two lines, the loss ratio evidence for each, and one sentence on what you would do about it.</t>
        </is>
      </c>
      <c r="D16" s="37" t="inlineStr">
        <is>
          <t>Chief Underwriting Officer</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F33"/>
  <sheetViews>
    <sheetView showGridLines="0" workbookViewId="0">
      <pane ySplit="5" topLeftCell="A6" activePane="bottomLeft" state="frozen"/>
      <selection pane="bottomLeft" activeCell="A1" sqref="A1"/>
    </sheetView>
  </sheetViews>
  <sheetFormatPr baseColWidth="8" defaultRowHeight="15"/>
  <cols>
    <col width="22" customWidth="1" min="1" max="1"/>
    <col width="26" customWidth="1" min="2" max="2"/>
    <col width="16" customWidth="1" min="3" max="3"/>
    <col width="20" customWidth="1" min="4" max="4"/>
    <col width="20" customWidth="1" min="5" max="5"/>
    <col width="20" customWidth="1" min="6" max="6"/>
  </cols>
  <sheetData>
    <row r="1" ht="26" customHeight="1">
      <c r="A1" s="1" t="inlineStr">
        <is>
          <t>Dataset 1.5  —  INDEX and MATCH with Multiple Criteria (Array Formula, Ctrl+Shift+Enter)</t>
        </is>
      </c>
    </row>
    <row r="2" ht="16" customHeight="1">
      <c r="A2" s="2" t="inlineStr">
        <is>
          <t>Session 1: Advanced Lookup, Text &amp; Date Functions | Part A: Advanced Lookup Functions   |   Adamjee Assurance Company Limited (Pakistan) — training data, figures in PKR</t>
        </is>
      </c>
    </row>
    <row r="4">
      <c r="A4" s="9" t="inlineStr">
        <is>
          <t>Table A — Endorsement Register 2024</t>
        </is>
      </c>
    </row>
    <row r="5" ht="30" customHeight="1">
      <c r="A5" s="10" t="inlineStr">
        <is>
          <t>Policy No</t>
        </is>
      </c>
      <c r="B5" s="10" t="inlineStr">
        <is>
          <t>Endorsement Type</t>
        </is>
      </c>
      <c r="C5" s="10" t="inlineStr">
        <is>
          <t>Effective Month</t>
        </is>
      </c>
      <c r="D5" s="10" t="inlineStr">
        <is>
          <t>Branch</t>
        </is>
      </c>
      <c r="E5" s="10" t="inlineStr">
        <is>
          <t>Premium Impact (PKR)</t>
        </is>
      </c>
      <c r="F5" s="10" t="inlineStr">
        <is>
          <t>Handled By</t>
        </is>
      </c>
    </row>
    <row r="6">
      <c r="A6" s="7" t="inlineStr">
        <is>
          <t>ADM-FIR-KHI-2024-1001</t>
        </is>
      </c>
      <c r="B6" s="7" t="inlineStr">
        <is>
          <t>Sum Insured Increase</t>
        </is>
      </c>
      <c r="C6" s="7" t="inlineStr">
        <is>
          <t>Jan-2024</t>
        </is>
      </c>
      <c r="D6" s="7" t="inlineStr">
        <is>
          <t>Karachi Main</t>
        </is>
      </c>
      <c r="E6" s="11" t="n">
        <v>185000</v>
      </c>
      <c r="F6" s="7" t="inlineStr">
        <is>
          <t>Tariq Jameel</t>
        </is>
      </c>
    </row>
    <row r="7">
      <c r="A7" s="15" t="inlineStr">
        <is>
          <t>ADM-TRV-LHR-2024-1002</t>
        </is>
      </c>
      <c r="B7" s="15" t="inlineStr">
        <is>
          <t>Vehicle Change</t>
        </is>
      </c>
      <c r="C7" s="15" t="inlineStr">
        <is>
          <t>Jan-2024</t>
        </is>
      </c>
      <c r="D7" s="15" t="inlineStr">
        <is>
          <t>Lahore Gulberg</t>
        </is>
      </c>
      <c r="E7" s="14" t="n">
        <v>-42000</v>
      </c>
      <c r="F7" s="15" t="inlineStr">
        <is>
          <t>Nadia Hassan</t>
        </is>
      </c>
    </row>
    <row r="8">
      <c r="A8" s="7" t="inlineStr">
        <is>
          <t>ADM-MTR-ISB-2024-1003</t>
        </is>
      </c>
      <c r="B8" s="7" t="inlineStr">
        <is>
          <t>Sum Insured Increase</t>
        </is>
      </c>
      <c r="C8" s="7" t="inlineStr">
        <is>
          <t>Feb-2024</t>
        </is>
      </c>
      <c r="D8" s="7" t="inlineStr">
        <is>
          <t>Islamabad Blue Area</t>
        </is>
      </c>
      <c r="E8" s="11" t="n">
        <v>260000</v>
      </c>
      <c r="F8" s="7" t="inlineStr">
        <is>
          <t>Salman Shah</t>
        </is>
      </c>
    </row>
    <row r="9">
      <c r="A9" s="15" t="inlineStr">
        <is>
          <t>ADM-HLT-FSD-2024-1004</t>
        </is>
      </c>
      <c r="B9" s="15" t="inlineStr">
        <is>
          <t>Address Change</t>
        </is>
      </c>
      <c r="C9" s="15" t="inlineStr">
        <is>
          <t>Feb-2024</t>
        </is>
      </c>
      <c r="D9" s="15" t="inlineStr">
        <is>
          <t>Faisalabad</t>
        </is>
      </c>
      <c r="E9" s="14" t="n">
        <v>0</v>
      </c>
      <c r="F9" s="15" t="inlineStr">
        <is>
          <t>Komal Bashir</t>
        </is>
      </c>
    </row>
    <row r="10">
      <c r="A10" s="7" t="inlineStr">
        <is>
          <t>ADM-MSC-MUL-2024-1005</t>
        </is>
      </c>
      <c r="B10" s="7" t="inlineStr">
        <is>
          <t>Cancellation Refund</t>
        </is>
      </c>
      <c r="C10" s="7" t="inlineStr">
        <is>
          <t>Mar-2024</t>
        </is>
      </c>
      <c r="D10" s="7" t="inlineStr">
        <is>
          <t>Multan</t>
        </is>
      </c>
      <c r="E10" s="11" t="n">
        <v>-310000</v>
      </c>
      <c r="F10" s="7" t="inlineStr">
        <is>
          <t>Waqar Younis Khan</t>
        </is>
      </c>
    </row>
    <row r="11">
      <c r="A11" s="15" t="inlineStr">
        <is>
          <t>ADM-MAR-PEW-2024-1006</t>
        </is>
      </c>
      <c r="B11" s="15" t="inlineStr">
        <is>
          <t>Sum Insured Increase</t>
        </is>
      </c>
      <c r="C11" s="15" t="inlineStr">
        <is>
          <t>Mar-2024</t>
        </is>
      </c>
      <c r="D11" s="15" t="inlineStr">
        <is>
          <t>Peshawar</t>
        </is>
      </c>
      <c r="E11" s="14" t="n">
        <v>96500</v>
      </c>
      <c r="F11" s="15" t="inlineStr">
        <is>
          <t>Amna Zubair</t>
        </is>
      </c>
    </row>
    <row r="12">
      <c r="A12" s="7" t="inlineStr">
        <is>
          <t>ADM-ENG-QTA-2024-1007</t>
        </is>
      </c>
      <c r="B12" s="7" t="inlineStr">
        <is>
          <t>Add Driver</t>
        </is>
      </c>
      <c r="C12" s="7" t="inlineStr">
        <is>
          <t>Apr-2024</t>
        </is>
      </c>
      <c r="D12" s="7" t="inlineStr">
        <is>
          <t>Quetta</t>
        </is>
      </c>
      <c r="E12" s="11" t="n">
        <v>18000</v>
      </c>
      <c r="F12" s="7" t="inlineStr">
        <is>
          <t>Rizwan Ali Soomro</t>
        </is>
      </c>
    </row>
    <row r="13">
      <c r="A13" s="15" t="inlineStr">
        <is>
          <t>ADM-FIR-HYD-2024-1008</t>
        </is>
      </c>
      <c r="B13" s="15" t="inlineStr">
        <is>
          <t>Sum Insured Increase</t>
        </is>
      </c>
      <c r="C13" s="15" t="inlineStr">
        <is>
          <t>Apr-2024</t>
        </is>
      </c>
      <c r="D13" s="15" t="inlineStr">
        <is>
          <t>Hyderabad</t>
        </is>
      </c>
      <c r="E13" s="14" t="n">
        <v>412000</v>
      </c>
      <c r="F13" s="15" t="inlineStr">
        <is>
          <t>Farhan Dar</t>
        </is>
      </c>
    </row>
    <row r="14">
      <c r="A14" s="7" t="inlineStr">
        <is>
          <t>ADM-TRV-SKT-2024-1009</t>
        </is>
      </c>
      <c r="B14" s="7" t="inlineStr">
        <is>
          <t>Vehicle Change</t>
        </is>
      </c>
      <c r="C14" s="7" t="inlineStr">
        <is>
          <t>May-2024</t>
        </is>
      </c>
      <c r="D14" s="7" t="inlineStr">
        <is>
          <t>Sialkot</t>
        </is>
      </c>
      <c r="E14" s="11" t="n">
        <v>-75000</v>
      </c>
      <c r="F14" s="7" t="inlineStr">
        <is>
          <t>Sobia Naz</t>
        </is>
      </c>
    </row>
    <row r="15">
      <c r="A15" s="15" t="inlineStr">
        <is>
          <t>ADM-MTR-RWP-2024-1010</t>
        </is>
      </c>
      <c r="B15" s="15" t="inlineStr">
        <is>
          <t>Extension of Period</t>
        </is>
      </c>
      <c r="C15" s="15" t="inlineStr">
        <is>
          <t>May-2024</t>
        </is>
      </c>
      <c r="D15" s="15" t="inlineStr">
        <is>
          <t>Rawalpindi</t>
        </is>
      </c>
      <c r="E15" s="14" t="n">
        <v>133000</v>
      </c>
      <c r="F15" s="15" t="inlineStr">
        <is>
          <t>Junaid Akram</t>
        </is>
      </c>
    </row>
    <row r="16">
      <c r="A16" s="7" t="inlineStr">
        <is>
          <t>ADM-HLT-KHI-2024-1011</t>
        </is>
      </c>
      <c r="B16" s="7" t="inlineStr">
        <is>
          <t>Sum Insured Increase</t>
        </is>
      </c>
      <c r="C16" s="7" t="inlineStr">
        <is>
          <t>Jun-2024</t>
        </is>
      </c>
      <c r="D16" s="7" t="inlineStr">
        <is>
          <t>Karachi Main</t>
        </is>
      </c>
      <c r="E16" s="11" t="n">
        <v>204500</v>
      </c>
      <c r="F16" s="7" t="inlineStr">
        <is>
          <t>Hamid Raza</t>
        </is>
      </c>
    </row>
    <row r="17">
      <c r="A17" s="15" t="inlineStr">
        <is>
          <t>ADM-MSC-LHR-2024-1012</t>
        </is>
      </c>
      <c r="B17" s="15" t="inlineStr">
        <is>
          <t>Cancellation Refund</t>
        </is>
      </c>
      <c r="C17" s="15" t="inlineStr">
        <is>
          <t>Jun-2024</t>
        </is>
      </c>
      <c r="D17" s="15" t="inlineStr">
        <is>
          <t>Lahore Gulberg</t>
        </is>
      </c>
      <c r="E17" s="14" t="n">
        <v>-88000</v>
      </c>
      <c r="F17" s="15" t="inlineStr">
        <is>
          <t>Nimra Saleem</t>
        </is>
      </c>
    </row>
    <row r="18">
      <c r="A18" s="7" t="inlineStr">
        <is>
          <t>ADM-MAR-ISB-2024-1013</t>
        </is>
      </c>
      <c r="B18" s="7" t="inlineStr">
        <is>
          <t>Add Driver</t>
        </is>
      </c>
      <c r="C18" s="7" t="inlineStr">
        <is>
          <t>Jul-2024</t>
        </is>
      </c>
      <c r="D18" s="7" t="inlineStr">
        <is>
          <t>Islamabad Blue Area</t>
        </is>
      </c>
      <c r="E18" s="11" t="n">
        <v>21500</v>
      </c>
      <c r="F18" s="7" t="inlineStr">
        <is>
          <t>Tariq Jameel</t>
        </is>
      </c>
    </row>
    <row r="19">
      <c r="A19" s="15" t="inlineStr">
        <is>
          <t>ADM-ENG-FSD-2024-1014</t>
        </is>
      </c>
      <c r="B19" s="15" t="inlineStr">
        <is>
          <t>Sum Insured Increase</t>
        </is>
      </c>
      <c r="C19" s="15" t="inlineStr">
        <is>
          <t>Jul-2024</t>
        </is>
      </c>
      <c r="D19" s="15" t="inlineStr">
        <is>
          <t>Faisalabad</t>
        </is>
      </c>
      <c r="E19" s="14" t="n">
        <v>355000</v>
      </c>
      <c r="F19" s="15" t="inlineStr">
        <is>
          <t>Nadia Hassan</t>
        </is>
      </c>
    </row>
    <row r="20">
      <c r="A20" s="7" t="inlineStr">
        <is>
          <t>ADM-FIR-MUL-2024-1015</t>
        </is>
      </c>
      <c r="B20" s="7" t="inlineStr">
        <is>
          <t>Extension of Period</t>
        </is>
      </c>
      <c r="C20" s="7" t="inlineStr">
        <is>
          <t>Aug-2024</t>
        </is>
      </c>
      <c r="D20" s="7" t="inlineStr">
        <is>
          <t>Multan</t>
        </is>
      </c>
      <c r="E20" s="11" t="n">
        <v>149000</v>
      </c>
      <c r="F20" s="7" t="inlineStr">
        <is>
          <t>Salman Shah</t>
        </is>
      </c>
    </row>
    <row r="21">
      <c r="A21" s="15" t="inlineStr">
        <is>
          <t>ADM-TRV-PEW-2024-1016</t>
        </is>
      </c>
      <c r="B21" s="15" t="inlineStr">
        <is>
          <t>Vehicle Change</t>
        </is>
      </c>
      <c r="C21" s="15" t="inlineStr">
        <is>
          <t>Aug-2024</t>
        </is>
      </c>
      <c r="D21" s="15" t="inlineStr">
        <is>
          <t>Peshawar</t>
        </is>
      </c>
      <c r="E21" s="14" t="n">
        <v>-36000</v>
      </c>
      <c r="F21" s="15" t="inlineStr">
        <is>
          <t>Komal Bashir</t>
        </is>
      </c>
    </row>
    <row r="22">
      <c r="A22" s="7" t="inlineStr">
        <is>
          <t>ADM-MTR-QTA-2024-1017</t>
        </is>
      </c>
      <c r="B22" s="7" t="inlineStr">
        <is>
          <t>Sum Insured Increase</t>
        </is>
      </c>
      <c r="C22" s="7" t="inlineStr">
        <is>
          <t>Sep-2024</t>
        </is>
      </c>
      <c r="D22" s="7" t="inlineStr">
        <is>
          <t>Quetta</t>
        </is>
      </c>
      <c r="E22" s="11" t="n">
        <v>278000</v>
      </c>
      <c r="F22" s="7" t="inlineStr">
        <is>
          <t>Waqar Younis Khan</t>
        </is>
      </c>
    </row>
    <row r="23">
      <c r="A23" s="15" t="inlineStr">
        <is>
          <t>ADM-HLT-HYD-2024-1018</t>
        </is>
      </c>
      <c r="B23" s="15" t="inlineStr">
        <is>
          <t>Address Change</t>
        </is>
      </c>
      <c r="C23" s="15" t="inlineStr">
        <is>
          <t>Sep-2024</t>
        </is>
      </c>
      <c r="D23" s="15" t="inlineStr">
        <is>
          <t>Hyderabad</t>
        </is>
      </c>
      <c r="E23" s="14" t="n">
        <v>0</v>
      </c>
      <c r="F23" s="15" t="inlineStr">
        <is>
          <t>Amna Zubair</t>
        </is>
      </c>
    </row>
    <row r="24">
      <c r="A24" s="7" t="inlineStr">
        <is>
          <t>ADM-MSC-SKT-2024-1019</t>
        </is>
      </c>
      <c r="B24" s="7" t="inlineStr">
        <is>
          <t>Cancellation Refund</t>
        </is>
      </c>
      <c r="C24" s="7" t="inlineStr">
        <is>
          <t>Oct-2024</t>
        </is>
      </c>
      <c r="D24" s="7" t="inlineStr">
        <is>
          <t>Sialkot</t>
        </is>
      </c>
      <c r="E24" s="11" t="n">
        <v>-122000</v>
      </c>
      <c r="F24" s="7" t="inlineStr">
        <is>
          <t>Rizwan Ali Soomro</t>
        </is>
      </c>
    </row>
    <row r="25">
      <c r="A25" s="15" t="inlineStr">
        <is>
          <t>ADM-MAR-RWP-2024-1020</t>
        </is>
      </c>
      <c r="B25" s="15" t="inlineStr">
        <is>
          <t>Sum Insured Increase</t>
        </is>
      </c>
      <c r="C25" s="15" t="inlineStr">
        <is>
          <t>Oct-2024</t>
        </is>
      </c>
      <c r="D25" s="15" t="inlineStr">
        <is>
          <t>Rawalpindi</t>
        </is>
      </c>
      <c r="E25" s="14" t="n">
        <v>190000</v>
      </c>
      <c r="F25" s="15" t="inlineStr">
        <is>
          <t>Farhan Dar</t>
        </is>
      </c>
    </row>
    <row r="27">
      <c r="A27" s="9" t="inlineStr">
        <is>
          <t>Table B — Three-criteria query</t>
        </is>
      </c>
    </row>
    <row r="28" ht="30" customHeight="1">
      <c r="A28" s="10" t="inlineStr">
        <is>
          <t>Criteria</t>
        </is>
      </c>
      <c r="B28" s="10" t="inlineStr">
        <is>
          <t>Value</t>
        </is>
      </c>
    </row>
    <row r="29">
      <c r="A29" s="7" t="inlineStr">
        <is>
          <t>Policy No</t>
        </is>
      </c>
      <c r="B29" s="7" t="inlineStr">
        <is>
          <t>ADM-ENG-QTA-2024-1007</t>
        </is>
      </c>
    </row>
    <row r="30">
      <c r="A30" s="15" t="inlineStr">
        <is>
          <t>Endorsement Type</t>
        </is>
      </c>
      <c r="B30" s="15" t="inlineStr">
        <is>
          <t>Add Driver</t>
        </is>
      </c>
    </row>
    <row r="31">
      <c r="A31" s="7" t="inlineStr">
        <is>
          <t>Effective Month</t>
        </is>
      </c>
      <c r="B31" s="7" t="inlineStr">
        <is>
          <t>Apr-2024</t>
        </is>
      </c>
    </row>
    <row r="33">
      <c r="A3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L41"/>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Cancellation Refund Reconciliation</t>
        </is>
      </c>
    </row>
    <row r="3">
      <c r="A3" s="21" t="inlineStr">
        <is>
          <t>Prepared for:</t>
        </is>
      </c>
      <c r="B3" s="22" t="inlineStr">
        <is>
          <t>Finance Manager — Premium Accounting</t>
        </is>
      </c>
    </row>
    <row r="4">
      <c r="A4" s="21" t="inlineStr">
        <is>
          <t>Prepared by:</t>
        </is>
      </c>
      <c r="B4" s="23" t="n"/>
    </row>
    <row r="5">
      <c r="A5" s="21" t="inlineStr">
        <is>
          <t>Reporting date:</t>
        </is>
      </c>
      <c r="B5" s="22" t="inlineStr">
        <is>
          <t>As at reporting date shown on the dataset</t>
        </is>
      </c>
    </row>
    <row r="7" ht="44" customHeight="1">
      <c r="A7" s="24" t="inlineStr">
        <is>
          <t>Three cancellation refunds were posted in the ledger this quarter and Finance cannot match two of them to the endorsement register because the same policy also had a sum insured increase in the same month.</t>
        </is>
      </c>
    </row>
    <row r="9">
      <c r="A9" s="25" t="inlineStr">
        <is>
          <t>Source data: '1.5 Data'  (click to open)</t>
        </is>
      </c>
    </row>
    <row r="11" ht="16" customHeight="1">
      <c r="A11" s="26" t="inlineStr">
        <is>
          <t>Navy headers below = data linked live from the dataset sheet.   Gold headers = blank — build your formula here.</t>
        </is>
      </c>
    </row>
    <row r="12" ht="30" customHeight="1">
      <c r="A12" s="10" t="inlineStr">
        <is>
          <t>Policy No</t>
        </is>
      </c>
      <c r="B12" s="10" t="inlineStr">
        <is>
          <t>Month</t>
        </is>
      </c>
      <c r="C12" s="27" t="inlineStr">
        <is>
          <t>Cancellation Refund from the register</t>
        </is>
      </c>
      <c r="D12" s="27" t="inlineStr">
        <is>
          <t>Amount in ledger (entered by you)</t>
        </is>
      </c>
      <c r="E12" s="27" t="inlineStr">
        <is>
          <t>Difference</t>
        </is>
      </c>
      <c r="F12" s="27" t="inlineStr">
        <is>
          <t>Status (</t>
        </is>
      </c>
    </row>
    <row r="13">
      <c r="A13" s="7">
        <f>'1.5 Data'!A6</f>
        <v/>
      </c>
      <c r="B13" s="7">
        <f>'1.5 Data'!C6</f>
        <v/>
      </c>
      <c r="C13" s="28" t="n"/>
      <c r="D13" s="28" t="n"/>
      <c r="E13" s="28" t="n"/>
      <c r="F13" s="28" t="n"/>
    </row>
    <row r="14">
      <c r="A14" s="15">
        <f>'1.5 Data'!A7</f>
        <v/>
      </c>
      <c r="B14" s="15">
        <f>'1.5 Data'!C7</f>
        <v/>
      </c>
      <c r="C14" s="28" t="n"/>
      <c r="D14" s="28" t="n"/>
      <c r="E14" s="28" t="n"/>
      <c r="F14" s="28" t="n"/>
    </row>
    <row r="15">
      <c r="A15" s="7">
        <f>'1.5 Data'!A8</f>
        <v/>
      </c>
      <c r="B15" s="7">
        <f>'1.5 Data'!C8</f>
        <v/>
      </c>
      <c r="C15" s="28" t="n"/>
      <c r="D15" s="28" t="n"/>
      <c r="E15" s="28" t="n"/>
      <c r="F15" s="28" t="n"/>
    </row>
    <row r="16">
      <c r="A16" s="15">
        <f>'1.5 Data'!A9</f>
        <v/>
      </c>
      <c r="B16" s="15">
        <f>'1.5 Data'!C9</f>
        <v/>
      </c>
      <c r="C16" s="28" t="n"/>
      <c r="D16" s="28" t="n"/>
      <c r="E16" s="28" t="n"/>
      <c r="F16" s="28" t="n"/>
    </row>
    <row r="17">
      <c r="A17" s="7">
        <f>'1.5 Data'!A10</f>
        <v/>
      </c>
      <c r="B17" s="7">
        <f>'1.5 Data'!C10</f>
        <v/>
      </c>
      <c r="C17" s="28" t="n"/>
      <c r="D17" s="28" t="n"/>
      <c r="E17" s="28" t="n"/>
      <c r="F17" s="28" t="n"/>
    </row>
    <row r="18">
      <c r="A18" s="15">
        <f>'1.5 Data'!A11</f>
        <v/>
      </c>
      <c r="B18" s="15">
        <f>'1.5 Data'!C11</f>
        <v/>
      </c>
      <c r="C18" s="28" t="n"/>
      <c r="D18" s="28" t="n"/>
      <c r="E18" s="28" t="n"/>
      <c r="F18" s="28" t="n"/>
    </row>
    <row r="19">
      <c r="A19" s="7">
        <f>'1.5 Data'!A12</f>
        <v/>
      </c>
      <c r="B19" s="7">
        <f>'1.5 Data'!C12</f>
        <v/>
      </c>
      <c r="C19" s="28" t="n"/>
      <c r="D19" s="28" t="n"/>
      <c r="E19" s="28" t="n"/>
      <c r="F19" s="28" t="n"/>
    </row>
    <row r="20">
      <c r="A20" s="15">
        <f>'1.5 Data'!A13</f>
        <v/>
      </c>
      <c r="B20" s="15">
        <f>'1.5 Data'!C13</f>
        <v/>
      </c>
      <c r="C20" s="28" t="n"/>
      <c r="D20" s="28" t="n"/>
      <c r="E20" s="28" t="n"/>
      <c r="F20" s="28" t="n"/>
    </row>
    <row r="21">
      <c r="A21" s="7">
        <f>'1.5 Data'!A14</f>
        <v/>
      </c>
      <c r="B21" s="7">
        <f>'1.5 Data'!C14</f>
        <v/>
      </c>
      <c r="C21" s="28" t="n"/>
      <c r="D21" s="28" t="n"/>
      <c r="E21" s="28" t="n"/>
      <c r="F21" s="28" t="n"/>
    </row>
    <row r="22">
      <c r="A22" s="15">
        <f>'1.5 Data'!A15</f>
        <v/>
      </c>
      <c r="B22" s="15">
        <f>'1.5 Data'!C15</f>
        <v/>
      </c>
      <c r="C22" s="28" t="n"/>
      <c r="D22" s="28" t="n"/>
      <c r="E22" s="28" t="n"/>
      <c r="F22" s="28" t="n"/>
    </row>
    <row r="23">
      <c r="A23" s="7">
        <f>'1.5 Data'!A16</f>
        <v/>
      </c>
      <c r="B23" s="7">
        <f>'1.5 Data'!C16</f>
        <v/>
      </c>
      <c r="C23" s="28" t="n"/>
      <c r="D23" s="28" t="n"/>
      <c r="E23" s="28" t="n"/>
      <c r="F23" s="28" t="n"/>
    </row>
    <row r="24">
      <c r="A24" s="15">
        <f>'1.5 Data'!A17</f>
        <v/>
      </c>
      <c r="B24" s="15">
        <f>'1.5 Data'!C17</f>
        <v/>
      </c>
      <c r="C24" s="28" t="n"/>
      <c r="D24" s="28" t="n"/>
      <c r="E24" s="28" t="n"/>
      <c r="F24" s="28" t="n"/>
    </row>
    <row r="25">
      <c r="A25" s="7">
        <f>'1.5 Data'!A18</f>
        <v/>
      </c>
      <c r="B25" s="7">
        <f>'1.5 Data'!C18</f>
        <v/>
      </c>
      <c r="C25" s="28" t="n"/>
      <c r="D25" s="28" t="n"/>
      <c r="E25" s="28" t="n"/>
      <c r="F25" s="28" t="n"/>
    </row>
    <row r="26">
      <c r="A26" s="15">
        <f>'1.5 Data'!A19</f>
        <v/>
      </c>
      <c r="B26" s="15">
        <f>'1.5 Data'!C19</f>
        <v/>
      </c>
      <c r="C26" s="28" t="n"/>
      <c r="D26" s="28" t="n"/>
      <c r="E26" s="28" t="n"/>
      <c r="F26" s="28" t="n"/>
    </row>
    <row r="27">
      <c r="A27" s="7">
        <f>'1.5 Data'!A20</f>
        <v/>
      </c>
      <c r="B27" s="7">
        <f>'1.5 Data'!C20</f>
        <v/>
      </c>
      <c r="C27" s="28" t="n"/>
      <c r="D27" s="28" t="n"/>
      <c r="E27" s="28" t="n"/>
      <c r="F27" s="28" t="n"/>
    </row>
    <row r="28">
      <c r="A28" s="15">
        <f>'1.5 Data'!A21</f>
        <v/>
      </c>
      <c r="B28" s="15">
        <f>'1.5 Data'!C21</f>
        <v/>
      </c>
      <c r="C28" s="28" t="n"/>
      <c r="D28" s="28" t="n"/>
      <c r="E28" s="28" t="n"/>
      <c r="F28" s="28" t="n"/>
    </row>
    <row r="29">
      <c r="A29" s="7">
        <f>'1.5 Data'!A22</f>
        <v/>
      </c>
      <c r="B29" s="7">
        <f>'1.5 Data'!C22</f>
        <v/>
      </c>
      <c r="C29" s="28" t="n"/>
      <c r="D29" s="28" t="n"/>
      <c r="E29" s="28" t="n"/>
      <c r="F29" s="28" t="n"/>
    </row>
    <row r="30">
      <c r="A30" s="15">
        <f>'1.5 Data'!A23</f>
        <v/>
      </c>
      <c r="B30" s="15">
        <f>'1.5 Data'!C23</f>
        <v/>
      </c>
      <c r="C30" s="28" t="n"/>
      <c r="D30" s="28" t="n"/>
      <c r="E30" s="28" t="n"/>
      <c r="F30" s="28" t="n"/>
    </row>
    <row r="31">
      <c r="A31" s="7">
        <f>'1.5 Data'!A24</f>
        <v/>
      </c>
      <c r="B31" s="7">
        <f>'1.5 Data'!C24</f>
        <v/>
      </c>
      <c r="C31" s="28" t="n"/>
      <c r="D31" s="28" t="n"/>
      <c r="E31" s="28" t="n"/>
      <c r="F31" s="28" t="n"/>
    </row>
    <row r="32">
      <c r="A32" s="15">
        <f>'1.5 Data'!A25</f>
        <v/>
      </c>
      <c r="B32" s="15">
        <f>'1.5 Data'!C25</f>
        <v/>
      </c>
      <c r="C32" s="28" t="n"/>
      <c r="D32" s="28" t="n"/>
      <c r="E32" s="28" t="n"/>
      <c r="F32" s="28" t="n"/>
    </row>
    <row r="33">
      <c r="A33" s="29" t="inlineStr">
        <is>
          <t>TOTAL / RESULT</t>
        </is>
      </c>
      <c r="B33" s="30" t="n"/>
      <c r="C33" s="31" t="n"/>
      <c r="D33" s="31" t="n"/>
      <c r="E33" s="31" t="n"/>
      <c r="F33" s="31" t="n"/>
    </row>
    <row r="35" ht="32" customHeight="1">
      <c r="A35"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37" ht="19" customHeight="1">
      <c r="A37" s="33" t="inlineStr">
        <is>
          <t>FURTHER REQUESTS ON THIS DATASET</t>
        </is>
      </c>
    </row>
    <row r="38" ht="20" customHeight="1">
      <c r="A38" s="34" t="inlineStr">
        <is>
          <t>#</t>
        </is>
      </c>
      <c r="B38" s="34" t="inlineStr">
        <is>
          <t>Request</t>
        </is>
      </c>
      <c r="C38" s="34" t="inlineStr">
        <is>
          <t>Requested by</t>
        </is>
      </c>
      <c r="D38" s="34" t="inlineStr">
        <is>
          <t>Report / figure required</t>
        </is>
      </c>
      <c r="E38" s="34" t="inlineStr">
        <is>
          <t>Your formula or answer</t>
        </is>
      </c>
    </row>
    <row r="39" ht="78" customHeight="1">
      <c r="A39" s="35" t="n">
        <v>1</v>
      </c>
      <c r="B39" s="36" t="inlineStr">
        <is>
          <t>Endorsement Premium Impact Statement</t>
        </is>
      </c>
      <c r="C39" s="37" t="inlineStr">
        <is>
          <t>Manager, Policy Administration</t>
        </is>
      </c>
      <c r="D39" s="38" t="inlineStr">
        <is>
          <t>A statement block keyed on three criteria (Policy No, Endorsement Type, Effective Month) returning: Premium Impact | Branch | Handled By. Changing any of the three criteria cells must return the correct single record.</t>
        </is>
      </c>
      <c r="E39" s="39" t="n"/>
    </row>
    <row r="40" ht="65" customHeight="1">
      <c r="A40" s="35" t="n">
        <v>2</v>
      </c>
      <c r="B40" s="36" t="inlineStr">
        <is>
          <t>Endorsement Audit Trail — five disputed records</t>
        </is>
      </c>
      <c r="C40" s="37" t="inlineStr">
        <is>
          <t>Head of Internal Audit</t>
        </is>
      </c>
      <c r="D40" s="38" t="inlineStr">
        <is>
          <t>An audit schedule: five rows, each with Policy No | Endorsement Type | Effective Month as inputs, and Premium Impact | Handled By as formula outputs. One formula pattern copied down all five rows.</t>
        </is>
      </c>
      <c r="E40" s="39" t="n"/>
    </row>
    <row r="41" ht="65" customHeight="1">
      <c r="A41" s="35" t="n">
        <v>3</v>
      </c>
      <c r="B41" s="36" t="inlineStr">
        <is>
          <t>Robustness test before release</t>
        </is>
      </c>
      <c r="C41" s="37" t="inlineStr">
        <is>
          <t>Head of MIS</t>
        </is>
      </c>
      <c r="D41" s="38" t="inlineStr">
        <is>
          <t>Evidence of two tests, recorded in the yellow box: what the formula returns for a combination that does not exist, and what it returns after your fix. State which wrapper you used and why.</t>
        </is>
      </c>
      <c r="E41" s="39" t="n"/>
    </row>
  </sheetData>
  <mergeCells count="6">
    <mergeCell ref="A2:L2"/>
    <mergeCell ref="A11:F11"/>
    <mergeCell ref="A7:K7"/>
    <mergeCell ref="A1:L1"/>
    <mergeCell ref="A37:F37"/>
    <mergeCell ref="A35:F35"/>
  </mergeCells>
  <hyperlinks>
    <hyperlink xmlns:r="http://schemas.openxmlformats.org/officeDocument/2006/relationships" ref="A9" r:id="rId1"/>
  </hyperlinks>
  <pageMargins left="0.75" right="0.75" top="1" bottom="1" header="0.5" footer="0.5"/>
</worksheet>
</file>

<file path=xl/worksheets/sheet12.xml><?xml version="1.0" encoding="utf-8"?>
<worksheet xmlns="http://schemas.openxmlformats.org/spreadsheetml/2006/main">
  <sheetPr>
    <tabColor rgb="001F3864"/>
    <outlinePr summaryBelow="1" summaryRight="1"/>
    <pageSetUpPr/>
  </sheetPr>
  <dimension ref="A1:F25"/>
  <sheetViews>
    <sheetView showGridLines="0" workbookViewId="0">
      <pane ySplit="5" topLeftCell="A6" activePane="bottomLeft" state="frozen"/>
      <selection pane="bottomLeft" activeCell="A1" sqref="A1"/>
    </sheetView>
  </sheetViews>
  <sheetFormatPr baseColWidth="8" defaultRowHeight="15"/>
  <cols>
    <col width="22" customWidth="1" min="1" max="1"/>
    <col width="24" customWidth="1" min="2" max="2"/>
    <col width="18" customWidth="1" min="3" max="3"/>
    <col width="22" customWidth="1" min="4" max="4"/>
    <col width="16" customWidth="1" min="5" max="5"/>
  </cols>
  <sheetData>
    <row r="1" ht="26" customHeight="1">
      <c r="A1" s="1" t="inlineStr">
        <is>
          <t>Dataset 1.6  —  OFFSET with MATCH for Dynamic Lookups</t>
        </is>
      </c>
    </row>
    <row r="2" ht="16" customHeight="1">
      <c r="A2" s="2" t="inlineStr">
        <is>
          <t>Session 1: Advanced Lookup, Text &amp; Date Functions | Part A: Advanced Lookup Functions   |   Adamjee Assurance Company Limited (Pakistan) — training data, figures in PKR</t>
        </is>
      </c>
    </row>
    <row r="4">
      <c r="A4" s="9" t="inlineStr">
        <is>
          <t>Table A — Monthly Gross Written Premium, Adamjee Assurance (all branches), PKR</t>
        </is>
      </c>
    </row>
    <row r="5" ht="30" customHeight="1">
      <c r="A5" s="10" t="inlineStr">
        <is>
          <t>Month</t>
        </is>
      </c>
      <c r="B5" s="10" t="inlineStr">
        <is>
          <t>Gross Written Premium</t>
        </is>
      </c>
      <c r="C5" s="10" t="inlineStr">
        <is>
          <t>Claims Paid</t>
        </is>
      </c>
      <c r="D5" s="10" t="inlineStr">
        <is>
          <t>Net Premium Earned</t>
        </is>
      </c>
      <c r="E5" s="10" t="inlineStr">
        <is>
          <t>Policies Issued</t>
        </is>
      </c>
    </row>
    <row r="6">
      <c r="A6" s="7" t="inlineStr">
        <is>
          <t>Jan-2024</t>
        </is>
      </c>
      <c r="B6" s="11" t="n">
        <v>70997000</v>
      </c>
      <c r="C6" s="11" t="n">
        <v>29629000</v>
      </c>
      <c r="D6" s="11" t="n">
        <v>58217540</v>
      </c>
      <c r="E6" s="11" t="n">
        <v>1200</v>
      </c>
    </row>
    <row r="7">
      <c r="A7" s="15" t="inlineStr">
        <is>
          <t>Feb-2024</t>
        </is>
      </c>
      <c r="B7" s="14" t="n">
        <v>53831000</v>
      </c>
      <c r="C7" s="14" t="n">
        <v>39861000</v>
      </c>
      <c r="D7" s="14" t="n">
        <v>44141420</v>
      </c>
      <c r="E7" s="14" t="n">
        <v>1292</v>
      </c>
    </row>
    <row r="8">
      <c r="A8" s="7" t="inlineStr">
        <is>
          <t>Mar-2024</t>
        </is>
      </c>
      <c r="B8" s="11" t="n">
        <v>69284000</v>
      </c>
      <c r="C8" s="11" t="n">
        <v>41849000</v>
      </c>
      <c r="D8" s="11" t="n">
        <v>56812880</v>
      </c>
      <c r="E8" s="11" t="n">
        <v>1384</v>
      </c>
    </row>
    <row r="9">
      <c r="A9" s="15" t="inlineStr">
        <is>
          <t>Apr-2024</t>
        </is>
      </c>
      <c r="B9" s="14" t="n">
        <v>58476000</v>
      </c>
      <c r="C9" s="14" t="n">
        <v>35117000</v>
      </c>
      <c r="D9" s="14" t="n">
        <v>47950320</v>
      </c>
      <c r="E9" s="14" t="n">
        <v>1476</v>
      </c>
    </row>
    <row r="10">
      <c r="A10" s="7" t="inlineStr">
        <is>
          <t>May-2024</t>
        </is>
      </c>
      <c r="B10" s="11" t="n">
        <v>64759000</v>
      </c>
      <c r="C10" s="11" t="n">
        <v>36418000</v>
      </c>
      <c r="D10" s="11" t="n">
        <v>53102380</v>
      </c>
      <c r="E10" s="11" t="n">
        <v>1348</v>
      </c>
    </row>
    <row r="11">
      <c r="A11" s="15" t="inlineStr">
        <is>
          <t>Jun-2024</t>
        </is>
      </c>
      <c r="B11" s="14" t="n">
        <v>74750000</v>
      </c>
      <c r="C11" s="14" t="n">
        <v>29571000</v>
      </c>
      <c r="D11" s="14" t="n">
        <v>61295000</v>
      </c>
      <c r="E11" s="14" t="n">
        <v>1440</v>
      </c>
    </row>
    <row r="12">
      <c r="A12" s="7" t="inlineStr">
        <is>
          <t>Jul-2024</t>
        </is>
      </c>
      <c r="B12" s="11" t="n">
        <v>69081000</v>
      </c>
      <c r="C12" s="11" t="n">
        <v>27449000</v>
      </c>
      <c r="D12" s="11" t="n">
        <v>56646420</v>
      </c>
      <c r="E12" s="11" t="n">
        <v>1532</v>
      </c>
    </row>
    <row r="13">
      <c r="A13" s="15" t="inlineStr">
        <is>
          <t>Aug-2024</t>
        </is>
      </c>
      <c r="B13" s="14" t="n">
        <v>74767000</v>
      </c>
      <c r="C13" s="14" t="n">
        <v>26781000</v>
      </c>
      <c r="D13" s="14" t="n">
        <v>61308940</v>
      </c>
      <c r="E13" s="14" t="n">
        <v>1624</v>
      </c>
    </row>
    <row r="14">
      <c r="A14" s="7" t="inlineStr">
        <is>
          <t>Sep-2024</t>
        </is>
      </c>
      <c r="B14" s="11" t="n">
        <v>56995000</v>
      </c>
      <c r="C14" s="11" t="n">
        <v>32638000</v>
      </c>
      <c r="D14" s="11" t="n">
        <v>46735900</v>
      </c>
      <c r="E14" s="11" t="n">
        <v>1496</v>
      </c>
    </row>
    <row r="15">
      <c r="A15" s="15" t="inlineStr">
        <is>
          <t>Oct-2024</t>
        </is>
      </c>
      <c r="B15" s="14" t="n">
        <v>59129000</v>
      </c>
      <c r="C15" s="14" t="n">
        <v>44634000</v>
      </c>
      <c r="D15" s="14" t="n">
        <v>48485780</v>
      </c>
      <c r="E15" s="14" t="n">
        <v>1588</v>
      </c>
    </row>
    <row r="16">
      <c r="A16" s="7" t="inlineStr">
        <is>
          <t>Nov-2024</t>
        </is>
      </c>
      <c r="B16" s="11" t="n">
        <v>57312000</v>
      </c>
      <c r="C16" s="11" t="n">
        <v>24054000</v>
      </c>
      <c r="D16" s="11" t="n">
        <v>46995840</v>
      </c>
      <c r="E16" s="11" t="n">
        <v>1680</v>
      </c>
    </row>
    <row r="17">
      <c r="A17" s="15" t="inlineStr">
        <is>
          <t>Dec-2024</t>
        </is>
      </c>
      <c r="B17" s="14" t="n">
        <v>63793000</v>
      </c>
      <c r="C17" s="14" t="n">
        <v>24613000</v>
      </c>
      <c r="D17" s="14" t="n">
        <v>52310260</v>
      </c>
      <c r="E17" s="14" t="n">
        <v>1772</v>
      </c>
    </row>
    <row r="19">
      <c r="A19" s="9" t="inlineStr">
        <is>
          <t>Table B — Rolling window controls</t>
        </is>
      </c>
    </row>
    <row r="20" ht="30" customHeight="1">
      <c r="A20" s="10" t="inlineStr">
        <is>
          <t>Control</t>
        </is>
      </c>
      <c r="B20" s="10" t="inlineStr">
        <is>
          <t>Value</t>
        </is>
      </c>
    </row>
    <row r="21">
      <c r="A21" s="7" t="inlineStr">
        <is>
          <t>Start Month</t>
        </is>
      </c>
      <c r="B21" s="7" t="inlineStr">
        <is>
          <t>Apr-2024</t>
        </is>
      </c>
    </row>
    <row r="22">
      <c r="A22" s="15" t="inlineStr">
        <is>
          <t>Number of Months</t>
        </is>
      </c>
      <c r="B22" s="42" t="n">
        <v>3</v>
      </c>
    </row>
    <row r="23">
      <c r="A23" s="7" t="inlineStr">
        <is>
          <t>Measure required</t>
        </is>
      </c>
      <c r="B23" s="7" t="inlineStr">
        <is>
          <t>Gross Written Premium</t>
        </is>
      </c>
    </row>
    <row r="25">
      <c r="A2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Rolling 3-Month Premium Report</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CFO reviews momentum on a rolling three-month basis, not year-to-date, because year-to-date hides a bad quarter. At present an analyst rewrites the SUM range every month and in July the range was left on the previous window, so the report understated premium by a full month.</t>
        </is>
      </c>
    </row>
    <row r="9">
      <c r="A9" s="25" t="inlineStr">
        <is>
          <t>Source data: '1.6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Rolling 3-Month Premium Report</t>
        </is>
      </c>
      <c r="C13" s="38" t="inlineStr">
        <is>
          <t>A rolling window report: Start Month (input) | Months in window (input) | Rolling Total GWP | Rolling Average GWP | Rolling Total Claims | Rolling Loss Ratio. Changing the start month or the window size must move the whole report with no formula edits.</t>
        </is>
      </c>
      <c r="D13" s="37" t="inlineStr">
        <is>
          <t>Chief Financial Officer</t>
        </is>
      </c>
      <c r="E13" s="31" t="n"/>
    </row>
    <row r="14" ht="65" customHeight="1">
      <c r="A14" s="35" t="n">
        <v>2</v>
      </c>
      <c r="B14" s="36" t="inlineStr">
        <is>
          <t>Measure Switch for the one-page CFO summary</t>
        </is>
      </c>
      <c r="C14" s="38" t="inlineStr">
        <is>
          <t>The rolling report with a Measure selector cell (Gross Written Premium / Claims Paid / Net Premium Earned / Policies Issued). The column offset inside OFFSET must be driven by that cell.</t>
        </is>
      </c>
      <c r="D14" s="37" t="inlineStr">
        <is>
          <t>Head of Management Reporting</t>
        </is>
      </c>
      <c r="E14" s="31" t="n"/>
    </row>
    <row r="15" ht="65" customHeight="1">
      <c r="A15" s="35" t="n">
        <v>3</v>
      </c>
      <c r="B15" s="36" t="inlineStr">
        <is>
          <t>Quarter-on-quarter momentum table</t>
        </is>
      </c>
      <c r="C15" s="38" t="inlineStr">
        <is>
          <t>A momentum table: Window | Total GWP | Average GWP per month | Change vs previous window (PKR and %). Three windows: Jan-Mar, Apr-Jun, Jul-Sep, each built from the same OFFSET formula with a different start month cell.</t>
        </is>
      </c>
      <c r="D15" s="37" t="inlineStr">
        <is>
          <t>Regional Head — North</t>
        </is>
      </c>
      <c r="E15" s="31" t="n"/>
    </row>
    <row r="16" ht="52" customHeight="1">
      <c r="A16" s="35" t="n">
        <v>4</v>
      </c>
      <c r="B16" s="36" t="inlineStr">
        <is>
          <t>Performance memo on volatile functions</t>
        </is>
      </c>
      <c r="C16" s="38" t="inlineStr">
        <is>
          <t>A short memo in the yellow box: what 'volatile' means, why OFFSET slows a large workbook, and the non-volatile alternative you would use in a 200,000-row file.</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4.xml><?xml version="1.0" encoding="utf-8"?>
<worksheet xmlns="http://schemas.openxmlformats.org/spreadsheetml/2006/main">
  <sheetPr>
    <tabColor rgb="001F3864"/>
    <outlinePr summaryBelow="1" summaryRight="1"/>
    <pageSetUpPr/>
  </sheetPr>
  <dimension ref="A1:F45"/>
  <sheetViews>
    <sheetView showGridLines="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4" customWidth="1" min="4" max="4"/>
    <col width="20" customWidth="1" min="5" max="5"/>
  </cols>
  <sheetData>
    <row r="1" ht="26" customHeight="1">
      <c r="A1" s="1" t="inlineStr">
        <is>
          <t>Dataset 1.7  —  Handling Lookup Errors with IFERROR and IFNA</t>
        </is>
      </c>
    </row>
    <row r="2" ht="16" customHeight="1">
      <c r="A2" s="2" t="inlineStr">
        <is>
          <t>Session 1: Advanced Lookup, Text &amp; Date Functions | Part A: Advanced Lookup Functions   |   Adamjee Assurance Company Limited (Pakistan) — training data, figures in PKR</t>
        </is>
      </c>
    </row>
    <row r="4">
      <c r="A4" s="9" t="inlineStr">
        <is>
          <t>Table A — Policy Master Extract</t>
        </is>
      </c>
    </row>
    <row r="5" ht="30" customHeight="1">
      <c r="A5" s="10" t="inlineStr">
        <is>
          <t>Policy No</t>
        </is>
      </c>
      <c r="B5" s="10" t="inlineStr">
        <is>
          <t>Client Name</t>
        </is>
      </c>
      <c r="C5" s="10" t="inlineStr">
        <is>
          <t>Branch</t>
        </is>
      </c>
      <c r="D5" s="10" t="inlineStr">
        <is>
          <t>Gross Premium (PKR)</t>
        </is>
      </c>
      <c r="E5" s="10" t="inlineStr">
        <is>
          <t>Claims Paid (PKR)</t>
        </is>
      </c>
    </row>
    <row r="6">
      <c r="A6" s="7" t="inlineStr">
        <is>
          <t>ADM-FIR-KHI-2024-1001</t>
        </is>
      </c>
      <c r="B6" s="7" t="inlineStr">
        <is>
          <t>Gul Ahmed Textile Mills Ltd</t>
        </is>
      </c>
      <c r="C6" s="7" t="inlineStr">
        <is>
          <t>Karachi Main</t>
        </is>
      </c>
      <c r="D6" s="11" t="n">
        <v>96000</v>
      </c>
      <c r="E6" s="11" t="n">
        <v>120362</v>
      </c>
    </row>
    <row r="7">
      <c r="A7" s="15" t="inlineStr">
        <is>
          <t>ADM-TRV-LHR-2024-1002</t>
        </is>
      </c>
      <c r="B7" s="15" t="inlineStr">
        <is>
          <t>Packages Limited</t>
        </is>
      </c>
      <c r="C7" s="15" t="inlineStr">
        <is>
          <t>Lahore Gulberg</t>
        </is>
      </c>
      <c r="D7" s="14" t="n">
        <v>201000</v>
      </c>
      <c r="E7" s="14" t="n">
        <v>206906</v>
      </c>
    </row>
    <row r="8">
      <c r="A8" s="7" t="inlineStr">
        <is>
          <t>ADM-MTR-ISB-2024-1003</t>
        </is>
      </c>
      <c r="B8" s="7" t="inlineStr">
        <is>
          <t>Bilal Ahmed Khan</t>
        </is>
      </c>
      <c r="C8" s="7" t="inlineStr">
        <is>
          <t>Islamabad Blue Area</t>
        </is>
      </c>
      <c r="D8" s="11" t="n">
        <v>1397000</v>
      </c>
      <c r="E8" s="11" t="n">
        <v>400344</v>
      </c>
    </row>
    <row r="9">
      <c r="A9" s="15" t="inlineStr">
        <is>
          <t>ADM-HLT-FSD-2024-1004</t>
        </is>
      </c>
      <c r="B9" s="15" t="inlineStr">
        <is>
          <t>Attock Refinery Limited</t>
        </is>
      </c>
      <c r="C9" s="15" t="inlineStr">
        <is>
          <t>Faisalabad</t>
        </is>
      </c>
      <c r="D9" s="14" t="n">
        <v>305000</v>
      </c>
      <c r="E9" s="14" t="n">
        <v>173654</v>
      </c>
    </row>
    <row r="10">
      <c r="A10" s="7" t="inlineStr">
        <is>
          <t>ADM-MSC-MUL-2024-1005</t>
        </is>
      </c>
      <c r="B10" s="7" t="inlineStr">
        <is>
          <t>Descon Engineering Ltd</t>
        </is>
      </c>
      <c r="C10" s="7" t="inlineStr">
        <is>
          <t>Multan</t>
        </is>
      </c>
      <c r="D10" s="11" t="n">
        <v>75000</v>
      </c>
      <c r="E10" s="11" t="n">
        <v>26600</v>
      </c>
    </row>
    <row r="11">
      <c r="A11" s="15" t="inlineStr">
        <is>
          <t>ADM-MAR-PEW-2024-1006</t>
        </is>
      </c>
      <c r="B11" s="15" t="inlineStr">
        <is>
          <t>Hina Farooq</t>
        </is>
      </c>
      <c r="C11" s="15" t="inlineStr">
        <is>
          <t>Peshawar</t>
        </is>
      </c>
      <c r="D11" s="14" t="n">
        <v>380000</v>
      </c>
      <c r="E11" s="14" t="n">
        <v>275064</v>
      </c>
    </row>
    <row r="12">
      <c r="A12" s="7" t="inlineStr">
        <is>
          <t>ADM-ENG-QTA-2024-1007</t>
        </is>
      </c>
      <c r="B12" s="7" t="inlineStr">
        <is>
          <t>Indus Motor Company Ltd</t>
        </is>
      </c>
      <c r="C12" s="7" t="inlineStr">
        <is>
          <t>Quetta</t>
        </is>
      </c>
      <c r="D12" s="11" t="n">
        <v>227000</v>
      </c>
      <c r="E12" s="11" t="n">
        <v>227881</v>
      </c>
    </row>
    <row r="13">
      <c r="A13" s="15" t="inlineStr">
        <is>
          <t>ADM-FIR-HYD-2024-1008</t>
        </is>
      </c>
      <c r="B13" s="15" t="inlineStr">
        <is>
          <t>Nishat Mills Limited</t>
        </is>
      </c>
      <c r="C13" s="15" t="inlineStr">
        <is>
          <t>Hyderabad</t>
        </is>
      </c>
      <c r="D13" s="14" t="n">
        <v>290000</v>
      </c>
      <c r="E13" s="14" t="n">
        <v>404928</v>
      </c>
    </row>
    <row r="14">
      <c r="A14" s="7" t="inlineStr">
        <is>
          <t>ADM-TRV-SKT-2024-1009</t>
        </is>
      </c>
      <c r="B14" s="7" t="inlineStr">
        <is>
          <t>Imran Aslam Sheikh</t>
        </is>
      </c>
      <c r="C14" s="7" t="inlineStr">
        <is>
          <t>Sialkot</t>
        </is>
      </c>
      <c r="D14" s="11" t="n">
        <v>37000</v>
      </c>
      <c r="E14" s="11" t="n">
        <v>9893</v>
      </c>
    </row>
    <row r="15">
      <c r="A15" s="15" t="inlineStr">
        <is>
          <t>ADM-MTR-RWP-2024-1010</t>
        </is>
      </c>
      <c r="B15" s="15" t="inlineStr">
        <is>
          <t>Engro Polymer &amp; Chemicals</t>
        </is>
      </c>
      <c r="C15" s="15" t="inlineStr">
        <is>
          <t>Rawalpindi</t>
        </is>
      </c>
      <c r="D15" s="14" t="n">
        <v>760000</v>
      </c>
      <c r="E15" s="14" t="n">
        <v>483596</v>
      </c>
    </row>
    <row r="16">
      <c r="A16" s="7" t="inlineStr">
        <is>
          <t>ADM-HLT-KHI-2024-1011</t>
        </is>
      </c>
      <c r="B16" s="7" t="inlineStr">
        <is>
          <t>Interloop Limited</t>
        </is>
      </c>
      <c r="C16" s="7" t="inlineStr">
        <is>
          <t>Karachi Main</t>
        </is>
      </c>
      <c r="D16" s="11" t="n">
        <v>603000</v>
      </c>
      <c r="E16" s="11" t="n">
        <v>775060</v>
      </c>
    </row>
    <row r="17">
      <c r="A17" s="15" t="inlineStr">
        <is>
          <t>ADM-MSC-LHR-2024-1012</t>
        </is>
      </c>
      <c r="B17" s="15" t="inlineStr">
        <is>
          <t>Mehwish Anwar</t>
        </is>
      </c>
      <c r="C17" s="15" t="inlineStr">
        <is>
          <t>Lahore Gulberg</t>
        </is>
      </c>
      <c r="D17" s="14" t="n">
        <v>512000</v>
      </c>
      <c r="E17" s="14" t="n">
        <v>210598</v>
      </c>
    </row>
    <row r="18">
      <c r="A18" s="7" t="inlineStr">
        <is>
          <t>ADM-MAR-ISB-2024-1013</t>
        </is>
      </c>
      <c r="B18" s="7" t="inlineStr">
        <is>
          <t>Millat Tractors Limited</t>
        </is>
      </c>
      <c r="C18" s="7" t="inlineStr">
        <is>
          <t>Islamabad Blue Area</t>
        </is>
      </c>
      <c r="D18" s="11" t="n">
        <v>2169000</v>
      </c>
      <c r="E18" s="11" t="n">
        <v>1446010</v>
      </c>
    </row>
    <row r="19">
      <c r="A19" s="15" t="inlineStr">
        <is>
          <t>ADM-ENG-FSD-2024-1014</t>
        </is>
      </c>
      <c r="B19" s="15" t="inlineStr">
        <is>
          <t>K-Electric Limited</t>
        </is>
      </c>
      <c r="C19" s="15" t="inlineStr">
        <is>
          <t>Faisalabad</t>
        </is>
      </c>
      <c r="D19" s="14" t="n">
        <v>1089000</v>
      </c>
      <c r="E19" s="14" t="n">
        <v>1282897</v>
      </c>
    </row>
    <row r="20">
      <c r="A20" s="7" t="inlineStr">
        <is>
          <t>ADM-FIR-MUL-2024-1015</t>
        </is>
      </c>
      <c r="B20" s="7" t="inlineStr">
        <is>
          <t>Adnan Shahid Malik</t>
        </is>
      </c>
      <c r="C20" s="7" t="inlineStr">
        <is>
          <t>Multan</t>
        </is>
      </c>
      <c r="D20" s="11" t="n">
        <v>484000</v>
      </c>
      <c r="E20" s="11" t="n">
        <v>147639</v>
      </c>
    </row>
    <row r="21">
      <c r="A21" s="15" t="inlineStr">
        <is>
          <t>ADM-TRV-PEW-2024-1016</t>
        </is>
      </c>
      <c r="B21" s="15" t="inlineStr">
        <is>
          <t>Sapphire Fibres Limited</t>
        </is>
      </c>
      <c r="C21" s="15" t="inlineStr">
        <is>
          <t>Peshawar</t>
        </is>
      </c>
      <c r="D21" s="14" t="n">
        <v>74000</v>
      </c>
      <c r="E21" s="14" t="n">
        <v>43624</v>
      </c>
    </row>
    <row r="22">
      <c r="A22" s="7" t="inlineStr">
        <is>
          <t>ADM-MTR-QTA-2024-1017</t>
        </is>
      </c>
      <c r="B22" s="7" t="inlineStr">
        <is>
          <t>Archroma Pakistan Ltd</t>
        </is>
      </c>
      <c r="C22" s="7" t="inlineStr">
        <is>
          <t>Quetta</t>
        </is>
      </c>
      <c r="D22" s="11" t="n">
        <v>835000</v>
      </c>
      <c r="E22" s="11" t="n">
        <v>1090552</v>
      </c>
    </row>
    <row r="23">
      <c r="A23" s="15" t="inlineStr">
        <is>
          <t>ADM-HLT-HYD-2024-1018</t>
        </is>
      </c>
      <c r="B23" s="15" t="inlineStr">
        <is>
          <t>Tehmina Riaz</t>
        </is>
      </c>
      <c r="C23" s="15" t="inlineStr">
        <is>
          <t>Hyderabad</t>
        </is>
      </c>
      <c r="D23" s="14" t="n">
        <v>174000</v>
      </c>
      <c r="E23" s="14" t="n">
        <v>161480</v>
      </c>
    </row>
    <row r="24">
      <c r="A24" s="7" t="inlineStr">
        <is>
          <t>ADM-MSC-SKT-2024-1019</t>
        </is>
      </c>
      <c r="B24" s="7" t="inlineStr">
        <is>
          <t>Searle Pakistan Limited</t>
        </is>
      </c>
      <c r="C24" s="7" t="inlineStr">
        <is>
          <t>Sialkot</t>
        </is>
      </c>
      <c r="D24" s="11" t="n">
        <v>927000</v>
      </c>
      <c r="E24" s="11" t="n">
        <v>969565</v>
      </c>
    </row>
    <row r="25">
      <c r="A25" s="15" t="inlineStr">
        <is>
          <t>ADM-MAR-RWP-2024-1020</t>
        </is>
      </c>
      <c r="B25" s="15" t="inlineStr">
        <is>
          <t>Thal Limited</t>
        </is>
      </c>
      <c r="C25" s="15" t="inlineStr">
        <is>
          <t>Rawalpindi</t>
        </is>
      </c>
      <c r="D25" s="14" t="n">
        <v>181000</v>
      </c>
      <c r="E25" s="14" t="n">
        <v>145864</v>
      </c>
    </row>
    <row r="27">
      <c r="A27" s="9" t="inlineStr">
        <is>
          <t>Table B — Recovery Register (as received — contains bad references)</t>
        </is>
      </c>
    </row>
    <row r="28" ht="30" customHeight="1">
      <c r="A28" s="10" t="inlineStr">
        <is>
          <t>Line</t>
        </is>
      </c>
      <c r="B28" s="10" t="inlineStr">
        <is>
          <t>Policy No Pasted</t>
        </is>
      </c>
      <c r="C28" s="10" t="inlineStr">
        <is>
          <t>Source Branch</t>
        </is>
      </c>
      <c r="D28" s="10" t="inlineStr">
        <is>
          <t>Status Noted</t>
        </is>
      </c>
    </row>
    <row r="29">
      <c r="A29" s="43" t="n">
        <v>1</v>
      </c>
      <c r="B29" s="7" t="inlineStr">
        <is>
          <t>ADM-MTR-ISB-2024-1003</t>
        </is>
      </c>
      <c r="C29" s="7" t="inlineStr">
        <is>
          <t>Karachi Main</t>
        </is>
      </c>
      <c r="D29" s="7" t="inlineStr">
        <is>
          <t>Valid</t>
        </is>
      </c>
    </row>
    <row r="30">
      <c r="A30" s="42" t="n">
        <v>2</v>
      </c>
      <c r="B30" s="15" t="inlineStr">
        <is>
          <t>ADM-MTR-KHI-2024-9999</t>
        </is>
      </c>
      <c r="C30" s="15" t="inlineStr">
        <is>
          <t>Karachi Main</t>
        </is>
      </c>
      <c r="D30" s="15" t="inlineStr">
        <is>
          <t>Cancelled policy</t>
        </is>
      </c>
    </row>
    <row r="31">
      <c r="A31" s="43" t="n">
        <v>3</v>
      </c>
      <c r="B31" s="7" t="inlineStr">
        <is>
          <t>ADM-MAR-PEW-2024-1006</t>
        </is>
      </c>
      <c r="C31" s="7" t="inlineStr">
        <is>
          <t>Lahore Gulberg</t>
        </is>
      </c>
      <c r="D31" s="7" t="inlineStr">
        <is>
          <t>Valid</t>
        </is>
      </c>
    </row>
    <row r="32">
      <c r="A32" s="42" t="n">
        <v>4</v>
      </c>
      <c r="B32" s="15" t="inlineStr">
        <is>
          <t xml:space="preserve">ADM-TRV-SKT-2024-1009 </t>
        </is>
      </c>
      <c r="C32" s="15" t="inlineStr">
        <is>
          <t>Lahore Gulberg</t>
        </is>
      </c>
      <c r="D32" s="15" t="inlineStr">
        <is>
          <t>Trailing space typed</t>
        </is>
      </c>
    </row>
    <row r="33">
      <c r="A33" s="43" t="n">
        <v>5</v>
      </c>
      <c r="B33" s="7" t="inlineStr">
        <is>
          <t>ADM-FIR-LHR-2023-0450</t>
        </is>
      </c>
      <c r="C33" s="7" t="inlineStr">
        <is>
          <t>Lahore Gulberg</t>
        </is>
      </c>
      <c r="D33" s="7" t="inlineStr">
        <is>
          <t>Prior year – not in master</t>
        </is>
      </c>
    </row>
    <row r="34">
      <c r="A34" s="42" t="n">
        <v>6</v>
      </c>
      <c r="B34" s="15" t="inlineStr">
        <is>
          <t>ADM-ENG-FSD-2024-1014</t>
        </is>
      </c>
      <c r="C34" s="15" t="inlineStr">
        <is>
          <t>Islamabad Blue Area</t>
        </is>
      </c>
      <c r="D34" s="15" t="inlineStr">
        <is>
          <t>Valid</t>
        </is>
      </c>
    </row>
    <row r="35">
      <c r="A35" s="43" t="n">
        <v>7</v>
      </c>
      <c r="B35" s="7" t="inlineStr"/>
      <c r="C35" s="7" t="inlineStr">
        <is>
          <t>Islamabad Blue Area</t>
        </is>
      </c>
      <c r="D35" s="7" t="inlineStr">
        <is>
          <t>Blank cell pasted</t>
        </is>
      </c>
    </row>
    <row r="36">
      <c r="A36" s="42" t="n">
        <v>8</v>
      </c>
      <c r="B36" s="15" t="inlineStr">
        <is>
          <t>ADM-HLT-HYD-2024-1018</t>
        </is>
      </c>
      <c r="C36" s="15" t="inlineStr">
        <is>
          <t>Multan</t>
        </is>
      </c>
      <c r="D36" s="15" t="inlineStr">
        <is>
          <t>Valid</t>
        </is>
      </c>
    </row>
    <row r="38">
      <c r="A38" s="9" t="inlineStr">
        <is>
          <t>Table C — Branch premium and claims for loss ratio (note the zero)</t>
        </is>
      </c>
    </row>
    <row r="39" ht="30" customHeight="1">
      <c r="A39" s="10" t="inlineStr">
        <is>
          <t>Branch</t>
        </is>
      </c>
      <c r="B39" s="10" t="inlineStr">
        <is>
          <t>Gross Premium (PKR)</t>
        </is>
      </c>
      <c r="C39" s="10" t="inlineStr">
        <is>
          <t>Claims Paid (PKR)</t>
        </is>
      </c>
    </row>
    <row r="40">
      <c r="A40" s="7" t="inlineStr">
        <is>
          <t>Karachi Main</t>
        </is>
      </c>
      <c r="B40" s="11" t="n">
        <v>48500000</v>
      </c>
      <c r="C40" s="11" t="n">
        <v>21300000</v>
      </c>
    </row>
    <row r="41">
      <c r="A41" s="15" t="inlineStr">
        <is>
          <t>Lahore Gulberg</t>
        </is>
      </c>
      <c r="B41" s="14" t="n">
        <v>33200000</v>
      </c>
      <c r="C41" s="14" t="n">
        <v>19900000</v>
      </c>
    </row>
    <row r="42">
      <c r="A42" s="7" t="inlineStr">
        <is>
          <t>Quetta (opened Dec-2024)</t>
        </is>
      </c>
      <c r="B42" s="11" t="n">
        <v>0</v>
      </c>
      <c r="C42" s="11" t="n">
        <v>0</v>
      </c>
    </row>
    <row r="43">
      <c r="A43" s="15" t="inlineStr">
        <is>
          <t>Multan</t>
        </is>
      </c>
      <c r="B43" s="14" t="n">
        <v>12700000</v>
      </c>
      <c r="C43" s="14" t="n">
        <v>8450000</v>
      </c>
    </row>
    <row r="45">
      <c r="A4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tabColor rgb="00C00000"/>
    <outlinePr summaryBelow="1" summaryRight="1"/>
    <pageSetUpPr/>
  </sheetPr>
  <dimension ref="A1:L42"/>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Recovery Register — cleaned for CFO signature</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Recovery Register is compiled by pasting policy numbers from three branches. This month's draft went to the CFO with N/A in four rows and a DIV/0! in the branch summary. It came back unsigned with the comment 'I cannot present this to the Board'.</t>
        </is>
      </c>
    </row>
    <row r="9">
      <c r="A9" s="25" t="inlineStr">
        <is>
          <t>Source data: '1.7 Data'  (click to open)</t>
        </is>
      </c>
    </row>
    <row r="11" ht="16" customHeight="1">
      <c r="A11" s="26" t="inlineStr">
        <is>
          <t>Navy headers below = data linked live from the dataset sheet.   Gold headers = blank — build your formula here.</t>
        </is>
      </c>
    </row>
    <row r="12" ht="30" customHeight="1">
      <c r="A12" s="27" t="inlineStr">
        <is>
          <t>Line</t>
        </is>
      </c>
      <c r="B12" s="10" t="inlineStr">
        <is>
          <t>Policy No</t>
        </is>
      </c>
      <c r="C12" s="10" t="inlineStr">
        <is>
          <t>Client Name</t>
        </is>
      </c>
      <c r="D12" s="10" t="inlineStr">
        <is>
          <t>Branch</t>
        </is>
      </c>
      <c r="E12" s="10" t="inlineStr">
        <is>
          <t>Gross Premium</t>
        </is>
      </c>
      <c r="F12" s="27" t="inlineStr">
        <is>
          <t>Status</t>
        </is>
      </c>
    </row>
    <row r="13">
      <c r="A13" s="28" t="n"/>
      <c r="B13" s="7">
        <f>'1.7 Data'!A6</f>
        <v/>
      </c>
      <c r="C13" s="7">
        <f>'1.7 Data'!B6</f>
        <v/>
      </c>
      <c r="D13" s="7">
        <f>'1.7 Data'!C6</f>
        <v/>
      </c>
      <c r="E13" s="11">
        <f>'1.7 Data'!D6</f>
        <v/>
      </c>
      <c r="F13" s="28" t="n"/>
    </row>
    <row r="14">
      <c r="A14" s="28" t="n"/>
      <c r="B14" s="15">
        <f>'1.7 Data'!A7</f>
        <v/>
      </c>
      <c r="C14" s="15">
        <f>'1.7 Data'!B7</f>
        <v/>
      </c>
      <c r="D14" s="15">
        <f>'1.7 Data'!C7</f>
        <v/>
      </c>
      <c r="E14" s="14">
        <f>'1.7 Data'!D7</f>
        <v/>
      </c>
      <c r="F14" s="28" t="n"/>
    </row>
    <row r="15">
      <c r="A15" s="28" t="n"/>
      <c r="B15" s="7">
        <f>'1.7 Data'!A8</f>
        <v/>
      </c>
      <c r="C15" s="7">
        <f>'1.7 Data'!B8</f>
        <v/>
      </c>
      <c r="D15" s="7">
        <f>'1.7 Data'!C8</f>
        <v/>
      </c>
      <c r="E15" s="11">
        <f>'1.7 Data'!D8</f>
        <v/>
      </c>
      <c r="F15" s="28" t="n"/>
    </row>
    <row r="16">
      <c r="A16" s="28" t="n"/>
      <c r="B16" s="15">
        <f>'1.7 Data'!A9</f>
        <v/>
      </c>
      <c r="C16" s="15">
        <f>'1.7 Data'!B9</f>
        <v/>
      </c>
      <c r="D16" s="15">
        <f>'1.7 Data'!C9</f>
        <v/>
      </c>
      <c r="E16" s="14">
        <f>'1.7 Data'!D9</f>
        <v/>
      </c>
      <c r="F16" s="28" t="n"/>
    </row>
    <row r="17">
      <c r="A17" s="28" t="n"/>
      <c r="B17" s="7">
        <f>'1.7 Data'!A10</f>
        <v/>
      </c>
      <c r="C17" s="7">
        <f>'1.7 Data'!B10</f>
        <v/>
      </c>
      <c r="D17" s="7">
        <f>'1.7 Data'!C10</f>
        <v/>
      </c>
      <c r="E17" s="11">
        <f>'1.7 Data'!D10</f>
        <v/>
      </c>
      <c r="F17" s="28" t="n"/>
    </row>
    <row r="18">
      <c r="A18" s="28" t="n"/>
      <c r="B18" s="15">
        <f>'1.7 Data'!A11</f>
        <v/>
      </c>
      <c r="C18" s="15">
        <f>'1.7 Data'!B11</f>
        <v/>
      </c>
      <c r="D18" s="15">
        <f>'1.7 Data'!C11</f>
        <v/>
      </c>
      <c r="E18" s="14">
        <f>'1.7 Data'!D11</f>
        <v/>
      </c>
      <c r="F18" s="28" t="n"/>
    </row>
    <row r="19">
      <c r="A19" s="28" t="n"/>
      <c r="B19" s="7">
        <f>'1.7 Data'!A12</f>
        <v/>
      </c>
      <c r="C19" s="7">
        <f>'1.7 Data'!B12</f>
        <v/>
      </c>
      <c r="D19" s="7">
        <f>'1.7 Data'!C12</f>
        <v/>
      </c>
      <c r="E19" s="11">
        <f>'1.7 Data'!D12</f>
        <v/>
      </c>
      <c r="F19" s="28" t="n"/>
    </row>
    <row r="20">
      <c r="A20" s="28" t="n"/>
      <c r="B20" s="15">
        <f>'1.7 Data'!A13</f>
        <v/>
      </c>
      <c r="C20" s="15">
        <f>'1.7 Data'!B13</f>
        <v/>
      </c>
      <c r="D20" s="15">
        <f>'1.7 Data'!C13</f>
        <v/>
      </c>
      <c r="E20" s="14">
        <f>'1.7 Data'!D13</f>
        <v/>
      </c>
      <c r="F20" s="28" t="n"/>
    </row>
    <row r="21">
      <c r="A21" s="28" t="n"/>
      <c r="B21" s="7">
        <f>'1.7 Data'!A14</f>
        <v/>
      </c>
      <c r="C21" s="7">
        <f>'1.7 Data'!B14</f>
        <v/>
      </c>
      <c r="D21" s="7">
        <f>'1.7 Data'!C14</f>
        <v/>
      </c>
      <c r="E21" s="11">
        <f>'1.7 Data'!D14</f>
        <v/>
      </c>
      <c r="F21" s="28" t="n"/>
    </row>
    <row r="22">
      <c r="A22" s="28" t="n"/>
      <c r="B22" s="15">
        <f>'1.7 Data'!A15</f>
        <v/>
      </c>
      <c r="C22" s="15">
        <f>'1.7 Data'!B15</f>
        <v/>
      </c>
      <c r="D22" s="15">
        <f>'1.7 Data'!C15</f>
        <v/>
      </c>
      <c r="E22" s="14">
        <f>'1.7 Data'!D15</f>
        <v/>
      </c>
      <c r="F22" s="28" t="n"/>
    </row>
    <row r="23">
      <c r="A23" s="28" t="n"/>
      <c r="B23" s="7">
        <f>'1.7 Data'!A16</f>
        <v/>
      </c>
      <c r="C23" s="7">
        <f>'1.7 Data'!B16</f>
        <v/>
      </c>
      <c r="D23" s="7">
        <f>'1.7 Data'!C16</f>
        <v/>
      </c>
      <c r="E23" s="11">
        <f>'1.7 Data'!D16</f>
        <v/>
      </c>
      <c r="F23" s="28" t="n"/>
    </row>
    <row r="24">
      <c r="A24" s="28" t="n"/>
      <c r="B24" s="15">
        <f>'1.7 Data'!A17</f>
        <v/>
      </c>
      <c r="C24" s="15">
        <f>'1.7 Data'!B17</f>
        <v/>
      </c>
      <c r="D24" s="15">
        <f>'1.7 Data'!C17</f>
        <v/>
      </c>
      <c r="E24" s="14">
        <f>'1.7 Data'!D17</f>
        <v/>
      </c>
      <c r="F24" s="28" t="n"/>
    </row>
    <row r="25">
      <c r="A25" s="28" t="n"/>
      <c r="B25" s="7">
        <f>'1.7 Data'!A18</f>
        <v/>
      </c>
      <c r="C25" s="7">
        <f>'1.7 Data'!B18</f>
        <v/>
      </c>
      <c r="D25" s="7">
        <f>'1.7 Data'!C18</f>
        <v/>
      </c>
      <c r="E25" s="11">
        <f>'1.7 Data'!D18</f>
        <v/>
      </c>
      <c r="F25" s="28" t="n"/>
    </row>
    <row r="26">
      <c r="A26" s="28" t="n"/>
      <c r="B26" s="15">
        <f>'1.7 Data'!A19</f>
        <v/>
      </c>
      <c r="C26" s="15">
        <f>'1.7 Data'!B19</f>
        <v/>
      </c>
      <c r="D26" s="15">
        <f>'1.7 Data'!C19</f>
        <v/>
      </c>
      <c r="E26" s="14">
        <f>'1.7 Data'!D19</f>
        <v/>
      </c>
      <c r="F26" s="28" t="n"/>
    </row>
    <row r="27">
      <c r="A27" s="28" t="n"/>
      <c r="B27" s="7">
        <f>'1.7 Data'!A20</f>
        <v/>
      </c>
      <c r="C27" s="7">
        <f>'1.7 Data'!B20</f>
        <v/>
      </c>
      <c r="D27" s="7">
        <f>'1.7 Data'!C20</f>
        <v/>
      </c>
      <c r="E27" s="11">
        <f>'1.7 Data'!D20</f>
        <v/>
      </c>
      <c r="F27" s="28" t="n"/>
    </row>
    <row r="28">
      <c r="A28" s="28" t="n"/>
      <c r="B28" s="15">
        <f>'1.7 Data'!A21</f>
        <v/>
      </c>
      <c r="C28" s="15">
        <f>'1.7 Data'!B21</f>
        <v/>
      </c>
      <c r="D28" s="15">
        <f>'1.7 Data'!C21</f>
        <v/>
      </c>
      <c r="E28" s="14">
        <f>'1.7 Data'!D21</f>
        <v/>
      </c>
      <c r="F28" s="28" t="n"/>
    </row>
    <row r="29">
      <c r="A29" s="28" t="n"/>
      <c r="B29" s="7">
        <f>'1.7 Data'!A22</f>
        <v/>
      </c>
      <c r="C29" s="7">
        <f>'1.7 Data'!B22</f>
        <v/>
      </c>
      <c r="D29" s="7">
        <f>'1.7 Data'!C22</f>
        <v/>
      </c>
      <c r="E29" s="11">
        <f>'1.7 Data'!D22</f>
        <v/>
      </c>
      <c r="F29" s="28" t="n"/>
    </row>
    <row r="30">
      <c r="A30" s="28" t="n"/>
      <c r="B30" s="15">
        <f>'1.7 Data'!A23</f>
        <v/>
      </c>
      <c r="C30" s="15">
        <f>'1.7 Data'!B23</f>
        <v/>
      </c>
      <c r="D30" s="15">
        <f>'1.7 Data'!C23</f>
        <v/>
      </c>
      <c r="E30" s="14">
        <f>'1.7 Data'!D23</f>
        <v/>
      </c>
      <c r="F30" s="28" t="n"/>
    </row>
    <row r="31">
      <c r="A31" s="28" t="n"/>
      <c r="B31" s="7">
        <f>'1.7 Data'!A24</f>
        <v/>
      </c>
      <c r="C31" s="7">
        <f>'1.7 Data'!B24</f>
        <v/>
      </c>
      <c r="D31" s="7">
        <f>'1.7 Data'!C24</f>
        <v/>
      </c>
      <c r="E31" s="11">
        <f>'1.7 Data'!D24</f>
        <v/>
      </c>
      <c r="F31" s="28" t="n"/>
    </row>
    <row r="32">
      <c r="A32" s="28" t="n"/>
      <c r="B32" s="15">
        <f>'1.7 Data'!A25</f>
        <v/>
      </c>
      <c r="C32" s="15">
        <f>'1.7 Data'!B25</f>
        <v/>
      </c>
      <c r="D32" s="15">
        <f>'1.7 Data'!C25</f>
        <v/>
      </c>
      <c r="E32" s="14">
        <f>'1.7 Data'!D25</f>
        <v/>
      </c>
      <c r="F32" s="28" t="n"/>
    </row>
    <row r="33">
      <c r="A33" s="29" t="inlineStr">
        <is>
          <t>TOTAL / RESULT</t>
        </is>
      </c>
      <c r="B33" s="30" t="n"/>
      <c r="C33" s="30" t="n"/>
      <c r="D33" s="30" t="n"/>
      <c r="E33" s="30" t="n"/>
      <c r="F33" s="31" t="n"/>
    </row>
    <row r="35" ht="32" customHeight="1">
      <c r="A35"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37" ht="19" customHeight="1">
      <c r="A37" s="33" t="inlineStr">
        <is>
          <t>FURTHER REQUESTS ON THIS DATASET</t>
        </is>
      </c>
    </row>
    <row r="38" ht="20" customHeight="1">
      <c r="A38" s="34" t="inlineStr">
        <is>
          <t>#</t>
        </is>
      </c>
      <c r="B38" s="34" t="inlineStr">
        <is>
          <t>Request</t>
        </is>
      </c>
      <c r="C38" s="34" t="inlineStr">
        <is>
          <t>Requested by</t>
        </is>
      </c>
      <c r="D38" s="34" t="inlineStr">
        <is>
          <t>Report / figure required</t>
        </is>
      </c>
      <c r="E38" s="34" t="inlineStr">
        <is>
          <t>Your formula or answer</t>
        </is>
      </c>
    </row>
    <row r="39" ht="65" customHeight="1">
      <c r="A39" s="35" t="n">
        <v>1</v>
      </c>
      <c r="B39" s="36" t="inlineStr">
        <is>
          <t>Exception Schedule for the branch network</t>
        </is>
      </c>
      <c r="C39" s="37" t="inlineStr">
        <is>
          <t>Head of Internal Audit</t>
        </is>
      </c>
      <c r="D39" s="38" t="inlineStr">
        <is>
          <t>An exception schedule: Line | Policy No as pasted | Failure reason (Cancelled policy / Trailing space / Prior year / Blank cell) | Action for the branch. Count of exceptions shown at the top.</t>
        </is>
      </c>
      <c r="E39" s="39" t="n"/>
    </row>
    <row r="40" ht="65" customHeight="1">
      <c r="A40" s="35" t="n">
        <v>2</v>
      </c>
      <c r="B40" s="36" t="inlineStr">
        <is>
          <t>Recovering the trailing-space line without touching source data</t>
        </is>
      </c>
      <c r="C40" s="37" t="inlineStr">
        <is>
          <t>Manager, Policy Servicing</t>
        </is>
      </c>
      <c r="D40" s="38" t="inlineStr">
        <is>
          <t>The register with line 4 matching correctly, source data unchanged. Show the formula used and state in one line how many of the eight lines matched before and after your fix.</t>
        </is>
      </c>
      <c r="E40" s="39" t="n"/>
    </row>
    <row r="41" ht="52" customHeight="1">
      <c r="A41" s="35" t="n">
        <v>3</v>
      </c>
      <c r="B41" s="36" t="inlineStr">
        <is>
          <t>Branch Loss Ratio table including the new Quetta branch</t>
        </is>
      </c>
      <c r="C41" s="37" t="inlineStr">
        <is>
          <t>Regional Head — South</t>
        </is>
      </c>
      <c r="D41" s="38" t="inlineStr">
        <is>
          <t>A branch loss ratio table: Branch | GWP | Claims Paid | Loss Ratio, where a branch with no premium shows 'n/a' rather than an error. Ratios formatted 0.0%.</t>
        </is>
      </c>
      <c r="E41" s="39" t="n"/>
    </row>
    <row r="42" ht="65" customHeight="1">
      <c r="A42" s="35" t="n">
        <v>4</v>
      </c>
      <c r="B42" s="36" t="inlineStr">
        <is>
          <t>Control note on blanket error suppression</t>
        </is>
      </c>
      <c r="C42" s="37" t="inlineStr">
        <is>
          <t>Head of Internal Audit</t>
        </is>
      </c>
      <c r="D42" s="38" t="inlineStr">
        <is>
          <t>A three-line control note: why blanket IFERROR is dangerous in a financial report, the difference between IFERROR and IFNA, and your recommendation on which to use in the Recovery Register.</t>
        </is>
      </c>
      <c r="E42" s="39" t="n"/>
    </row>
  </sheetData>
  <mergeCells count="6">
    <mergeCell ref="A2:L2"/>
    <mergeCell ref="A11:F11"/>
    <mergeCell ref="A7:K7"/>
    <mergeCell ref="A1:L1"/>
    <mergeCell ref="A37:F37"/>
    <mergeCell ref="A35:F35"/>
  </mergeCells>
  <hyperlinks>
    <hyperlink xmlns:r="http://schemas.openxmlformats.org/officeDocument/2006/relationships" ref="A9" r:id="rId1"/>
  </hyperlinks>
  <pageMargins left="0.75" right="0.75" top="1" bottom="1" header="0.5" footer="0.5"/>
</worksheet>
</file>

<file path=xl/worksheets/sheet16.xml><?xml version="1.0" encoding="utf-8"?>
<worksheet xmlns="http://schemas.openxmlformats.org/spreadsheetml/2006/main">
  <sheetPr>
    <tabColor rgb="001F3864"/>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16" customWidth="1" min="1" max="1"/>
    <col width="20" customWidth="1" min="2" max="2"/>
    <col width="14" customWidth="1" min="3" max="3"/>
    <col width="24" customWidth="1" min="4" max="4"/>
  </cols>
  <sheetData>
    <row r="1" ht="26" customHeight="1">
      <c r="A1" s="1" t="inlineStr">
        <is>
          <t>Dataset 1.8  —  LEFT, RIGHT, MID</t>
        </is>
      </c>
    </row>
    <row r="2" ht="16" customHeight="1">
      <c r="A2" s="2" t="inlineStr">
        <is>
          <t>Session 1: Advanced Lookup, Text &amp; Date Functions | Part B: Advanced Text Functions   |   Adamjee Assurance Company Limited (Pakistan) — training data, figures in PKR</t>
        </is>
      </c>
    </row>
    <row r="4">
      <c r="A4" s="9" t="inlineStr">
        <is>
          <t>Table A — Policy Number Register (structure: ADM-PPP-BBB-YYYY-NNNN)</t>
        </is>
      </c>
    </row>
    <row r="5" ht="30" customHeight="1">
      <c r="A5" s="10" t="inlineStr">
        <is>
          <t>Line</t>
        </is>
      </c>
      <c r="B5" s="10" t="inlineStr">
        <is>
          <t>Policy No</t>
        </is>
      </c>
      <c r="C5" s="10" t="inlineStr">
        <is>
          <t>Client Name</t>
        </is>
      </c>
      <c r="D5" s="10" t="inlineStr">
        <is>
          <t>Gross Premium (PKR)</t>
        </is>
      </c>
    </row>
    <row r="6">
      <c r="A6" s="43" t="n">
        <v>1</v>
      </c>
      <c r="B6" s="7" t="inlineStr">
        <is>
          <t>ADM-MTR-KHI-2024-1001</t>
        </is>
      </c>
      <c r="C6" s="7" t="inlineStr">
        <is>
          <t>Gul Ahmed Textile Mills Ltd</t>
        </is>
      </c>
      <c r="D6" s="11" t="n">
        <v>96000</v>
      </c>
    </row>
    <row r="7">
      <c r="A7" s="42" t="n">
        <v>2</v>
      </c>
      <c r="B7" s="15" t="inlineStr">
        <is>
          <t>ADM-FIR-KHI-2024-1002</t>
        </is>
      </c>
      <c r="C7" s="15" t="inlineStr">
        <is>
          <t>Packages Limited</t>
        </is>
      </c>
      <c r="D7" s="14" t="n">
        <v>201000</v>
      </c>
    </row>
    <row r="8">
      <c r="A8" s="43" t="n">
        <v>3</v>
      </c>
      <c r="B8" s="7" t="inlineStr">
        <is>
          <t>ADM-MAR-KHI-2024-1003</t>
        </is>
      </c>
      <c r="C8" s="7" t="inlineStr">
        <is>
          <t>Bilal Ahmed Khan</t>
        </is>
      </c>
      <c r="D8" s="11" t="n">
        <v>1397000</v>
      </c>
    </row>
    <row r="9">
      <c r="A9" s="42" t="n">
        <v>4</v>
      </c>
      <c r="B9" s="15" t="inlineStr">
        <is>
          <t>ADM-HLT-KHI-2024-1004</t>
        </is>
      </c>
      <c r="C9" s="15" t="inlineStr">
        <is>
          <t>Attock Refinery Limited</t>
        </is>
      </c>
      <c r="D9" s="14" t="n">
        <v>305000</v>
      </c>
    </row>
    <row r="10">
      <c r="A10" s="43" t="n">
        <v>5</v>
      </c>
      <c r="B10" s="7" t="inlineStr">
        <is>
          <t>ADM-TRV-LHR-2024-1005</t>
        </is>
      </c>
      <c r="C10" s="7" t="inlineStr">
        <is>
          <t>Descon Engineering Ltd</t>
        </is>
      </c>
      <c r="D10" s="11" t="n">
        <v>75000</v>
      </c>
    </row>
    <row r="11">
      <c r="A11" s="42" t="n">
        <v>6</v>
      </c>
      <c r="B11" s="15" t="inlineStr">
        <is>
          <t>ADM-ENG-LHR-2024-1006</t>
        </is>
      </c>
      <c r="C11" s="15" t="inlineStr">
        <is>
          <t>Hina Farooq</t>
        </is>
      </c>
      <c r="D11" s="14" t="n">
        <v>380000</v>
      </c>
    </row>
    <row r="12">
      <c r="A12" s="43" t="n">
        <v>7</v>
      </c>
      <c r="B12" s="7" t="inlineStr">
        <is>
          <t>ADM-MSC-LHR-2024-1008</t>
        </is>
      </c>
      <c r="C12" s="7" t="inlineStr">
        <is>
          <t>Indus Motor Company Ltd</t>
        </is>
      </c>
      <c r="D12" s="11" t="n">
        <v>227000</v>
      </c>
    </row>
    <row r="13">
      <c r="A13" s="42" t="n">
        <v>8</v>
      </c>
      <c r="B13" s="15" t="inlineStr">
        <is>
          <t>ADM-MTR-ISB-2024-1009</t>
        </is>
      </c>
      <c r="C13" s="15" t="inlineStr">
        <is>
          <t>Nishat Mills Limited</t>
        </is>
      </c>
      <c r="D13" s="14" t="n">
        <v>290000</v>
      </c>
    </row>
    <row r="14">
      <c r="A14" s="43" t="n">
        <v>9</v>
      </c>
      <c r="B14" s="7" t="inlineStr">
        <is>
          <t>ADM-FIR-ISB-2024-1010</t>
        </is>
      </c>
      <c r="C14" s="7" t="inlineStr">
        <is>
          <t>Imran Aslam Sheikh</t>
        </is>
      </c>
      <c r="D14" s="11" t="n">
        <v>37000</v>
      </c>
    </row>
    <row r="15">
      <c r="A15" s="42" t="n">
        <v>10</v>
      </c>
      <c r="B15" s="15" t="inlineStr">
        <is>
          <t>ADM-MAR-ISB-2024-1011</t>
        </is>
      </c>
      <c r="C15" s="15" t="inlineStr">
        <is>
          <t>Engro Polymer &amp; Chemicals</t>
        </is>
      </c>
      <c r="D15" s="14" t="n">
        <v>760000</v>
      </c>
    </row>
    <row r="16">
      <c r="A16" s="43" t="n">
        <v>11</v>
      </c>
      <c r="B16" s="7" t="inlineStr">
        <is>
          <t>ADM-HLT-FSD-2024-1012</t>
        </is>
      </c>
      <c r="C16" s="7" t="inlineStr">
        <is>
          <t>Interloop Limited</t>
        </is>
      </c>
      <c r="D16" s="11" t="n">
        <v>603000</v>
      </c>
    </row>
    <row r="17">
      <c r="A17" s="42" t="n">
        <v>12</v>
      </c>
      <c r="B17" s="15" t="inlineStr">
        <is>
          <t>ADM-TRV-FSD-2024-1013</t>
        </is>
      </c>
      <c r="C17" s="15" t="inlineStr">
        <is>
          <t>Mehwish Anwar</t>
        </is>
      </c>
      <c r="D17" s="14" t="n">
        <v>512000</v>
      </c>
    </row>
    <row r="18">
      <c r="A18" s="43" t="n">
        <v>13</v>
      </c>
      <c r="B18" s="7" t="inlineStr">
        <is>
          <t>ADM-ENG-FSD-2024-1014</t>
        </is>
      </c>
      <c r="C18" s="7" t="inlineStr">
        <is>
          <t>Millat Tractors Limited</t>
        </is>
      </c>
      <c r="D18" s="11" t="n">
        <v>2169000</v>
      </c>
    </row>
    <row r="19">
      <c r="A19" s="42" t="n">
        <v>14</v>
      </c>
      <c r="B19" s="15" t="inlineStr">
        <is>
          <t>ADM-MSC-MUL-2024-1015</t>
        </is>
      </c>
      <c r="C19" s="15" t="inlineStr">
        <is>
          <t>K-Electric Limited</t>
        </is>
      </c>
      <c r="D19" s="14" t="n">
        <v>1089000</v>
      </c>
    </row>
    <row r="20">
      <c r="A20" s="43" t="n">
        <v>15</v>
      </c>
      <c r="B20" s="7" t="inlineStr">
        <is>
          <t>ADM-MTR-MUL-2024-1016</t>
        </is>
      </c>
      <c r="C20" s="7" t="inlineStr">
        <is>
          <t>Adnan Shahid Malik</t>
        </is>
      </c>
      <c r="D20" s="11" t="n">
        <v>484000</v>
      </c>
    </row>
    <row r="21">
      <c r="A21" s="42" t="n">
        <v>16</v>
      </c>
      <c r="B21" s="15" t="inlineStr">
        <is>
          <t>ADM-FIR-MUL-2024-1017</t>
        </is>
      </c>
      <c r="C21" s="15" t="inlineStr">
        <is>
          <t>Sapphire Fibres Limited</t>
        </is>
      </c>
      <c r="D21" s="14" t="n">
        <v>74000</v>
      </c>
    </row>
    <row r="22">
      <c r="A22" s="43" t="n">
        <v>17</v>
      </c>
      <c r="B22" s="7" t="inlineStr">
        <is>
          <t>ADM-MAR-MUL-2024-1018</t>
        </is>
      </c>
      <c r="C22" s="7" t="inlineStr">
        <is>
          <t>Archroma Pakistan Ltd</t>
        </is>
      </c>
      <c r="D22" s="11" t="n">
        <v>835000</v>
      </c>
    </row>
    <row r="23">
      <c r="A23" s="42" t="n">
        <v>18</v>
      </c>
      <c r="B23" s="15" t="inlineStr">
        <is>
          <t>ADM-HLT-PEW-2024-1019</t>
        </is>
      </c>
      <c r="C23" s="15" t="inlineStr">
        <is>
          <t>Tehmina Riaz</t>
        </is>
      </c>
      <c r="D23" s="14" t="n">
        <v>174000</v>
      </c>
    </row>
    <row r="24">
      <c r="A24" s="43" t="n">
        <v>19</v>
      </c>
      <c r="B24" s="7" t="inlineStr">
        <is>
          <t>ADM-TRV-PEW-2024-1020</t>
        </is>
      </c>
      <c r="C24" s="7" t="inlineStr">
        <is>
          <t>Searle Pakistan Limited</t>
        </is>
      </c>
      <c r="D24" s="11" t="n">
        <v>927000</v>
      </c>
    </row>
    <row r="25">
      <c r="A25" s="42" t="n">
        <v>20</v>
      </c>
      <c r="B25" s="15" t="inlineStr">
        <is>
          <t>ADM-ENG-PEW-2024-1021</t>
        </is>
      </c>
      <c r="C25" s="15" t="inlineStr">
        <is>
          <t>Thal Limited</t>
        </is>
      </c>
      <c r="D25" s="14" t="n">
        <v>181000</v>
      </c>
    </row>
    <row r="26">
      <c r="A26" s="43" t="n">
        <v>21</v>
      </c>
      <c r="B26" s="7" t="inlineStr">
        <is>
          <t>ADM-MSC-QTA-2024-1022</t>
        </is>
      </c>
      <c r="C26" s="7" t="inlineStr">
        <is>
          <t>Ahmed Raza Qureshi</t>
        </is>
      </c>
      <c r="D26" s="11" t="n">
        <v>78000</v>
      </c>
    </row>
    <row r="27">
      <c r="A27" s="42" t="n">
        <v>22</v>
      </c>
      <c r="B27" s="15" t="inlineStr">
        <is>
          <t>ADM-MTR-QTA-2024-1023</t>
        </is>
      </c>
      <c r="C27" s="15" t="inlineStr">
        <is>
          <t>Packages Limited</t>
        </is>
      </c>
      <c r="D27" s="14" t="n">
        <v>368000</v>
      </c>
    </row>
    <row r="28">
      <c r="A28" s="43" t="n">
        <v>23</v>
      </c>
      <c r="B28" s="7" t="inlineStr">
        <is>
          <t>ADM-FIR-QTA-2024-1024</t>
        </is>
      </c>
      <c r="C28" s="7" t="inlineStr">
        <is>
          <t>Lucky Cement Limited</t>
        </is>
      </c>
      <c r="D28" s="11" t="n">
        <v>1586000</v>
      </c>
    </row>
    <row r="29">
      <c r="A29" s="42" t="n">
        <v>24</v>
      </c>
      <c r="B29" s="15" t="inlineStr">
        <is>
          <t>ADM-MAR-QTA-2024-1025</t>
        </is>
      </c>
      <c r="C29" s="15" t="inlineStr">
        <is>
          <t>Ayesha Tariq</t>
        </is>
      </c>
      <c r="D29" s="14" t="n">
        <v>2304000</v>
      </c>
    </row>
    <row r="31">
      <c r="A31" s="9" t="inlineStr">
        <is>
          <t>Table B — Decode tables</t>
        </is>
      </c>
    </row>
    <row r="32" ht="30" customHeight="1">
      <c r="A32" s="10" t="inlineStr">
        <is>
          <t>Product Code</t>
        </is>
      </c>
      <c r="B32" s="10" t="inlineStr">
        <is>
          <t>Product</t>
        </is>
      </c>
      <c r="C32" s="10" t="inlineStr">
        <is>
          <t>Branch Code</t>
        </is>
      </c>
      <c r="D32" s="10" t="inlineStr">
        <is>
          <t>Branch</t>
        </is>
      </c>
    </row>
    <row r="33">
      <c r="A33" s="7" t="inlineStr">
        <is>
          <t>MTR</t>
        </is>
      </c>
      <c r="B33" s="7" t="inlineStr">
        <is>
          <t>Motor</t>
        </is>
      </c>
      <c r="C33" s="7" t="inlineStr">
        <is>
          <t>KHI</t>
        </is>
      </c>
      <c r="D33" s="7" t="inlineStr">
        <is>
          <t>Karachi Main</t>
        </is>
      </c>
    </row>
    <row r="34">
      <c r="A34" s="15" t="inlineStr">
        <is>
          <t>FIR</t>
        </is>
      </c>
      <c r="B34" s="15" t="inlineStr">
        <is>
          <t>Fire &amp; Property</t>
        </is>
      </c>
      <c r="C34" s="15" t="inlineStr">
        <is>
          <t>LHR</t>
        </is>
      </c>
      <c r="D34" s="15" t="inlineStr">
        <is>
          <t>Lahore Gulberg</t>
        </is>
      </c>
    </row>
    <row r="35">
      <c r="A35" s="7" t="inlineStr">
        <is>
          <t>MAR</t>
        </is>
      </c>
      <c r="B35" s="7" t="inlineStr">
        <is>
          <t>Marine Cargo</t>
        </is>
      </c>
      <c r="C35" s="7" t="inlineStr">
        <is>
          <t>ISB</t>
        </is>
      </c>
      <c r="D35" s="7" t="inlineStr">
        <is>
          <t>Islamabad Blue Area</t>
        </is>
      </c>
    </row>
    <row r="36">
      <c r="A36" s="15" t="inlineStr">
        <is>
          <t>HLT</t>
        </is>
      </c>
      <c r="B36" s="15" t="inlineStr">
        <is>
          <t>Health</t>
        </is>
      </c>
      <c r="C36" s="15" t="inlineStr">
        <is>
          <t>FSD</t>
        </is>
      </c>
      <c r="D36" s="15" t="inlineStr">
        <is>
          <t>Faisalabad</t>
        </is>
      </c>
    </row>
    <row r="37">
      <c r="A37" s="7" t="inlineStr">
        <is>
          <t>TRV</t>
        </is>
      </c>
      <c r="B37" s="7" t="inlineStr">
        <is>
          <t>Travel</t>
        </is>
      </c>
      <c r="C37" s="7" t="inlineStr">
        <is>
          <t>MUL</t>
        </is>
      </c>
      <c r="D37" s="7" t="inlineStr">
        <is>
          <t>Multan</t>
        </is>
      </c>
    </row>
    <row r="38">
      <c r="A38" s="15" t="inlineStr">
        <is>
          <t>ENG</t>
        </is>
      </c>
      <c r="B38" s="15" t="inlineStr">
        <is>
          <t>Engineering</t>
        </is>
      </c>
      <c r="C38" s="15" t="inlineStr">
        <is>
          <t>PEW</t>
        </is>
      </c>
      <c r="D38" s="15" t="inlineStr">
        <is>
          <t>Peshawar</t>
        </is>
      </c>
    </row>
    <row r="39">
      <c r="A39" s="7" t="inlineStr">
        <is>
          <t>MSC</t>
        </is>
      </c>
      <c r="B39" s="7" t="inlineStr">
        <is>
          <t>Miscellaneous</t>
        </is>
      </c>
      <c r="C39" s="7" t="inlineStr">
        <is>
          <t>QTA</t>
        </is>
      </c>
      <c r="D39" s="7" t="inlineStr">
        <is>
          <t>Quetta</t>
        </is>
      </c>
    </row>
    <row r="41">
      <c r="A4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C00000"/>
    <outlinePr summaryBelow="1" summaryRight="1"/>
    <pageSetUpPr/>
  </sheetPr>
  <dimension ref="A1:L4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Policy Register split into MIS dimensions</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The data warehouse rebuild needs product and branch as separate fields. Today they exist only inside the policy number, and the interim solution has been a manual mapping file that a colleague updates by hand every month and which was last updated in June.</t>
        </is>
      </c>
    </row>
    <row r="9">
      <c r="A9" s="25" t="inlineStr">
        <is>
          <t>Source data: '1.8 Data'  (click to open)</t>
        </is>
      </c>
    </row>
    <row r="11" ht="16" customHeight="1">
      <c r="A11" s="26" t="inlineStr">
        <is>
          <t>Navy headers below = data linked live from the dataset sheet.   Gold headers = blank — build your formula here.</t>
        </is>
      </c>
    </row>
    <row r="12" ht="30" customHeight="1">
      <c r="A12" s="10" t="inlineStr">
        <is>
          <t>Line</t>
        </is>
      </c>
      <c r="B12" s="10" t="inlineStr">
        <is>
          <t>Policy No</t>
        </is>
      </c>
      <c r="C12" s="27" t="inlineStr">
        <is>
          <t>Prefix</t>
        </is>
      </c>
      <c r="D12" s="27" t="inlineStr">
        <is>
          <t>Product Code</t>
        </is>
      </c>
      <c r="E12" s="27" t="inlineStr">
        <is>
          <t>Branch Code</t>
        </is>
      </c>
      <c r="F12" s="27" t="inlineStr">
        <is>
          <t>Year</t>
        </is>
      </c>
      <c r="G12" s="27" t="inlineStr">
        <is>
          <t>Serial</t>
        </is>
      </c>
      <c r="H12" s="10" t="inlineStr">
        <is>
          <t>Gross Premium</t>
        </is>
      </c>
    </row>
    <row r="13">
      <c r="A13" s="7">
        <f>'1.8 Data'!A6</f>
        <v/>
      </c>
      <c r="B13" s="7">
        <f>'1.8 Data'!B6</f>
        <v/>
      </c>
      <c r="C13" s="28" t="n"/>
      <c r="D13" s="28" t="n"/>
      <c r="E13" s="28" t="n"/>
      <c r="F13" s="28" t="n"/>
      <c r="G13" s="28" t="n"/>
      <c r="H13" s="11">
        <f>'1.8 Data'!D6</f>
        <v/>
      </c>
    </row>
    <row r="14">
      <c r="A14" s="15">
        <f>'1.8 Data'!A7</f>
        <v/>
      </c>
      <c r="B14" s="15">
        <f>'1.8 Data'!B7</f>
        <v/>
      </c>
      <c r="C14" s="28" t="n"/>
      <c r="D14" s="28" t="n"/>
      <c r="E14" s="28" t="n"/>
      <c r="F14" s="28" t="n"/>
      <c r="G14" s="28" t="n"/>
      <c r="H14" s="14">
        <f>'1.8 Data'!D7</f>
        <v/>
      </c>
    </row>
    <row r="15">
      <c r="A15" s="7">
        <f>'1.8 Data'!A8</f>
        <v/>
      </c>
      <c r="B15" s="7">
        <f>'1.8 Data'!B8</f>
        <v/>
      </c>
      <c r="C15" s="28" t="n"/>
      <c r="D15" s="28" t="n"/>
      <c r="E15" s="28" t="n"/>
      <c r="F15" s="28" t="n"/>
      <c r="G15" s="28" t="n"/>
      <c r="H15" s="11">
        <f>'1.8 Data'!D8</f>
        <v/>
      </c>
    </row>
    <row r="16">
      <c r="A16" s="15">
        <f>'1.8 Data'!A9</f>
        <v/>
      </c>
      <c r="B16" s="15">
        <f>'1.8 Data'!B9</f>
        <v/>
      </c>
      <c r="C16" s="28" t="n"/>
      <c r="D16" s="28" t="n"/>
      <c r="E16" s="28" t="n"/>
      <c r="F16" s="28" t="n"/>
      <c r="G16" s="28" t="n"/>
      <c r="H16" s="14">
        <f>'1.8 Data'!D9</f>
        <v/>
      </c>
    </row>
    <row r="17">
      <c r="A17" s="7">
        <f>'1.8 Data'!A10</f>
        <v/>
      </c>
      <c r="B17" s="7">
        <f>'1.8 Data'!B10</f>
        <v/>
      </c>
      <c r="C17" s="28" t="n"/>
      <c r="D17" s="28" t="n"/>
      <c r="E17" s="28" t="n"/>
      <c r="F17" s="28" t="n"/>
      <c r="G17" s="28" t="n"/>
      <c r="H17" s="11">
        <f>'1.8 Data'!D10</f>
        <v/>
      </c>
    </row>
    <row r="18">
      <c r="A18" s="15">
        <f>'1.8 Data'!A11</f>
        <v/>
      </c>
      <c r="B18" s="15">
        <f>'1.8 Data'!B11</f>
        <v/>
      </c>
      <c r="C18" s="28" t="n"/>
      <c r="D18" s="28" t="n"/>
      <c r="E18" s="28" t="n"/>
      <c r="F18" s="28" t="n"/>
      <c r="G18" s="28" t="n"/>
      <c r="H18" s="14">
        <f>'1.8 Data'!D11</f>
        <v/>
      </c>
    </row>
    <row r="19">
      <c r="A19" s="7">
        <f>'1.8 Data'!A12</f>
        <v/>
      </c>
      <c r="B19" s="7">
        <f>'1.8 Data'!B12</f>
        <v/>
      </c>
      <c r="C19" s="28" t="n"/>
      <c r="D19" s="28" t="n"/>
      <c r="E19" s="28" t="n"/>
      <c r="F19" s="28" t="n"/>
      <c r="G19" s="28" t="n"/>
      <c r="H19" s="11">
        <f>'1.8 Data'!D12</f>
        <v/>
      </c>
    </row>
    <row r="20">
      <c r="A20" s="15">
        <f>'1.8 Data'!A13</f>
        <v/>
      </c>
      <c r="B20" s="15">
        <f>'1.8 Data'!B13</f>
        <v/>
      </c>
      <c r="C20" s="28" t="n"/>
      <c r="D20" s="28" t="n"/>
      <c r="E20" s="28" t="n"/>
      <c r="F20" s="28" t="n"/>
      <c r="G20" s="28" t="n"/>
      <c r="H20" s="14">
        <f>'1.8 Data'!D13</f>
        <v/>
      </c>
    </row>
    <row r="21">
      <c r="A21" s="7">
        <f>'1.8 Data'!A14</f>
        <v/>
      </c>
      <c r="B21" s="7">
        <f>'1.8 Data'!B14</f>
        <v/>
      </c>
      <c r="C21" s="28" t="n"/>
      <c r="D21" s="28" t="n"/>
      <c r="E21" s="28" t="n"/>
      <c r="F21" s="28" t="n"/>
      <c r="G21" s="28" t="n"/>
      <c r="H21" s="11">
        <f>'1.8 Data'!D14</f>
        <v/>
      </c>
    </row>
    <row r="22">
      <c r="A22" s="15">
        <f>'1.8 Data'!A15</f>
        <v/>
      </c>
      <c r="B22" s="15">
        <f>'1.8 Data'!B15</f>
        <v/>
      </c>
      <c r="C22" s="28" t="n"/>
      <c r="D22" s="28" t="n"/>
      <c r="E22" s="28" t="n"/>
      <c r="F22" s="28" t="n"/>
      <c r="G22" s="28" t="n"/>
      <c r="H22" s="14">
        <f>'1.8 Data'!D15</f>
        <v/>
      </c>
    </row>
    <row r="23">
      <c r="A23" s="7">
        <f>'1.8 Data'!A16</f>
        <v/>
      </c>
      <c r="B23" s="7">
        <f>'1.8 Data'!B16</f>
        <v/>
      </c>
      <c r="C23" s="28" t="n"/>
      <c r="D23" s="28" t="n"/>
      <c r="E23" s="28" t="n"/>
      <c r="F23" s="28" t="n"/>
      <c r="G23" s="28" t="n"/>
      <c r="H23" s="11">
        <f>'1.8 Data'!D16</f>
        <v/>
      </c>
    </row>
    <row r="24">
      <c r="A24" s="15">
        <f>'1.8 Data'!A17</f>
        <v/>
      </c>
      <c r="B24" s="15">
        <f>'1.8 Data'!B17</f>
        <v/>
      </c>
      <c r="C24" s="28" t="n"/>
      <c r="D24" s="28" t="n"/>
      <c r="E24" s="28" t="n"/>
      <c r="F24" s="28" t="n"/>
      <c r="G24" s="28" t="n"/>
      <c r="H24" s="14">
        <f>'1.8 Data'!D17</f>
        <v/>
      </c>
    </row>
    <row r="25">
      <c r="A25" s="7">
        <f>'1.8 Data'!A18</f>
        <v/>
      </c>
      <c r="B25" s="7">
        <f>'1.8 Data'!B18</f>
        <v/>
      </c>
      <c r="C25" s="28" t="n"/>
      <c r="D25" s="28" t="n"/>
      <c r="E25" s="28" t="n"/>
      <c r="F25" s="28" t="n"/>
      <c r="G25" s="28" t="n"/>
      <c r="H25" s="11">
        <f>'1.8 Data'!D18</f>
        <v/>
      </c>
    </row>
    <row r="26">
      <c r="A26" s="15">
        <f>'1.8 Data'!A19</f>
        <v/>
      </c>
      <c r="B26" s="15">
        <f>'1.8 Data'!B19</f>
        <v/>
      </c>
      <c r="C26" s="28" t="n"/>
      <c r="D26" s="28" t="n"/>
      <c r="E26" s="28" t="n"/>
      <c r="F26" s="28" t="n"/>
      <c r="G26" s="28" t="n"/>
      <c r="H26" s="14">
        <f>'1.8 Data'!D19</f>
        <v/>
      </c>
    </row>
    <row r="27">
      <c r="A27" s="7">
        <f>'1.8 Data'!A20</f>
        <v/>
      </c>
      <c r="B27" s="7">
        <f>'1.8 Data'!B20</f>
        <v/>
      </c>
      <c r="C27" s="28" t="n"/>
      <c r="D27" s="28" t="n"/>
      <c r="E27" s="28" t="n"/>
      <c r="F27" s="28" t="n"/>
      <c r="G27" s="28" t="n"/>
      <c r="H27" s="11">
        <f>'1.8 Data'!D20</f>
        <v/>
      </c>
    </row>
    <row r="28">
      <c r="A28" s="15">
        <f>'1.8 Data'!A21</f>
        <v/>
      </c>
      <c r="B28" s="15">
        <f>'1.8 Data'!B21</f>
        <v/>
      </c>
      <c r="C28" s="28" t="n"/>
      <c r="D28" s="28" t="n"/>
      <c r="E28" s="28" t="n"/>
      <c r="F28" s="28" t="n"/>
      <c r="G28" s="28" t="n"/>
      <c r="H28" s="14">
        <f>'1.8 Data'!D21</f>
        <v/>
      </c>
    </row>
    <row r="29">
      <c r="A29" s="7">
        <f>'1.8 Data'!A22</f>
        <v/>
      </c>
      <c r="B29" s="7">
        <f>'1.8 Data'!B22</f>
        <v/>
      </c>
      <c r="C29" s="28" t="n"/>
      <c r="D29" s="28" t="n"/>
      <c r="E29" s="28" t="n"/>
      <c r="F29" s="28" t="n"/>
      <c r="G29" s="28" t="n"/>
      <c r="H29" s="11">
        <f>'1.8 Data'!D22</f>
        <v/>
      </c>
    </row>
    <row r="30">
      <c r="A30" s="15">
        <f>'1.8 Data'!A23</f>
        <v/>
      </c>
      <c r="B30" s="15">
        <f>'1.8 Data'!B23</f>
        <v/>
      </c>
      <c r="C30" s="28" t="n"/>
      <c r="D30" s="28" t="n"/>
      <c r="E30" s="28" t="n"/>
      <c r="F30" s="28" t="n"/>
      <c r="G30" s="28" t="n"/>
      <c r="H30" s="14">
        <f>'1.8 Data'!D23</f>
        <v/>
      </c>
    </row>
    <row r="31">
      <c r="A31" s="7">
        <f>'1.8 Data'!A24</f>
        <v/>
      </c>
      <c r="B31" s="7">
        <f>'1.8 Data'!B24</f>
        <v/>
      </c>
      <c r="C31" s="28" t="n"/>
      <c r="D31" s="28" t="n"/>
      <c r="E31" s="28" t="n"/>
      <c r="F31" s="28" t="n"/>
      <c r="G31" s="28" t="n"/>
      <c r="H31" s="11">
        <f>'1.8 Data'!D24</f>
        <v/>
      </c>
    </row>
    <row r="32">
      <c r="A32" s="15">
        <f>'1.8 Data'!A25</f>
        <v/>
      </c>
      <c r="B32" s="15">
        <f>'1.8 Data'!B25</f>
        <v/>
      </c>
      <c r="C32" s="28" t="n"/>
      <c r="D32" s="28" t="n"/>
      <c r="E32" s="28" t="n"/>
      <c r="F32" s="28" t="n"/>
      <c r="G32" s="28" t="n"/>
      <c r="H32" s="14">
        <f>'1.8 Data'!D25</f>
        <v/>
      </c>
    </row>
    <row r="33">
      <c r="A33" s="7">
        <f>'1.8 Data'!A26</f>
        <v/>
      </c>
      <c r="B33" s="7">
        <f>'1.8 Data'!B26</f>
        <v/>
      </c>
      <c r="C33" s="28" t="n"/>
      <c r="D33" s="28" t="n"/>
      <c r="E33" s="28" t="n"/>
      <c r="F33" s="28" t="n"/>
      <c r="G33" s="28" t="n"/>
      <c r="H33" s="11">
        <f>'1.8 Data'!D26</f>
        <v/>
      </c>
    </row>
    <row r="34">
      <c r="A34" s="15">
        <f>'1.8 Data'!A27</f>
        <v/>
      </c>
      <c r="B34" s="15">
        <f>'1.8 Data'!B27</f>
        <v/>
      </c>
      <c r="C34" s="28" t="n"/>
      <c r="D34" s="28" t="n"/>
      <c r="E34" s="28" t="n"/>
      <c r="F34" s="28" t="n"/>
      <c r="G34" s="28" t="n"/>
      <c r="H34" s="14">
        <f>'1.8 Data'!D27</f>
        <v/>
      </c>
    </row>
    <row r="35">
      <c r="A35" s="7">
        <f>'1.8 Data'!A28</f>
        <v/>
      </c>
      <c r="B35" s="7">
        <f>'1.8 Data'!B28</f>
        <v/>
      </c>
      <c r="C35" s="28" t="n"/>
      <c r="D35" s="28" t="n"/>
      <c r="E35" s="28" t="n"/>
      <c r="F35" s="28" t="n"/>
      <c r="G35" s="28" t="n"/>
      <c r="H35" s="11">
        <f>'1.8 Data'!D28</f>
        <v/>
      </c>
    </row>
    <row r="36">
      <c r="A36" s="15">
        <f>'1.8 Data'!A29</f>
        <v/>
      </c>
      <c r="B36" s="15">
        <f>'1.8 Data'!B29</f>
        <v/>
      </c>
      <c r="C36" s="28" t="n"/>
      <c r="D36" s="28" t="n"/>
      <c r="E36" s="28" t="n"/>
      <c r="F36" s="28" t="n"/>
      <c r="G36" s="28" t="n"/>
      <c r="H36" s="14">
        <f>'1.8 Data'!D29</f>
        <v/>
      </c>
    </row>
    <row r="37">
      <c r="A37" s="29" t="inlineStr">
        <is>
          <t>TOTAL / RESULT</t>
        </is>
      </c>
      <c r="B37" s="30" t="n"/>
      <c r="C37" s="31" t="n"/>
      <c r="D37" s="31" t="n"/>
      <c r="E37" s="31" t="n"/>
      <c r="F37" s="31" t="n"/>
      <c r="G37" s="31" t="n"/>
      <c r="H37" s="30" t="n"/>
    </row>
    <row r="39" ht="32" customHeight="1">
      <c r="A39"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41" ht="19" customHeight="1">
      <c r="A41" s="33" t="inlineStr">
        <is>
          <t>FURTHER REQUESTS ON THIS DATASET</t>
        </is>
      </c>
    </row>
    <row r="42" ht="20" customHeight="1">
      <c r="A42" s="34" t="inlineStr">
        <is>
          <t>#</t>
        </is>
      </c>
      <c r="B42" s="34" t="inlineStr">
        <is>
          <t>Request</t>
        </is>
      </c>
      <c r="C42" s="34" t="inlineStr">
        <is>
          <t>Requested by</t>
        </is>
      </c>
      <c r="D42" s="34" t="inlineStr">
        <is>
          <t>Report / figure required</t>
        </is>
      </c>
      <c r="E42" s="34" t="inlineStr">
        <is>
          <t>Your formula or answer</t>
        </is>
      </c>
    </row>
    <row r="43" ht="52" customHeight="1">
      <c r="A43" s="35" t="n">
        <v>1</v>
      </c>
      <c r="B43" s="36" t="inlineStr">
        <is>
          <t>Product and Branch names for the MIS extract</t>
        </is>
      </c>
      <c r="C43" s="37" t="inlineStr">
        <is>
          <t>Head of MIS</t>
        </is>
      </c>
      <c r="D43" s="38" t="inlineStr">
        <is>
          <t>The dimension table extended with Product Name and Branch Name columns, joined from the decode tables using your extracted codes.</t>
        </is>
      </c>
      <c r="E43" s="39" t="n"/>
    </row>
    <row r="44" ht="52" customHeight="1">
      <c r="A44" s="35" t="n">
        <v>2</v>
      </c>
      <c r="B44" s="36" t="inlineStr">
        <is>
          <t>Serial number continuity check</t>
        </is>
      </c>
      <c r="C44" s="37" t="inlineStr">
        <is>
          <t>Head of Internal Audit</t>
        </is>
      </c>
      <c r="D44" s="38" t="inlineStr">
        <is>
          <t>A continuity check: Branch Code | First Serial | Last Serial | Count of policies | Expected count | Gap flag. Serials must be real numbers, not text.</t>
        </is>
      </c>
      <c r="E44" s="39" t="n"/>
    </row>
    <row r="45" ht="65" customHeight="1">
      <c r="A45" s="35" t="n">
        <v>3</v>
      </c>
      <c r="B45" s="36" t="inlineStr">
        <is>
          <t>Format validation for the incoming feed</t>
        </is>
      </c>
      <c r="C45" s="37" t="inlineStr">
        <is>
          <t>Head of MIS</t>
        </is>
      </c>
      <c r="D45" s="38" t="inlineStr">
        <is>
          <t>A validation column flagging any policy number whose prefix is not exactly 'ADM', whose year is not 2024, or whose serial is not four digits. Count of failures shown at the top.</t>
        </is>
      </c>
      <c r="E45" s="39" t="n"/>
    </row>
  </sheetData>
  <mergeCells count="6">
    <mergeCell ref="A41:F41"/>
    <mergeCell ref="A2:L2"/>
    <mergeCell ref="A39:H39"/>
    <mergeCell ref="A7:K7"/>
    <mergeCell ref="A1:L1"/>
    <mergeCell ref="A11:H11"/>
  </mergeCells>
  <hyperlinks>
    <hyperlink xmlns:r="http://schemas.openxmlformats.org/officeDocument/2006/relationships" ref="A9" r:id="rId1"/>
  </hyperlinks>
  <pageMargins left="0.75" right="0.75" top="1" bottom="1" header="0.5" footer="0.5"/>
</worksheet>
</file>

<file path=xl/worksheets/sheet18.xml><?xml version="1.0" encoding="utf-8"?>
<worksheet xmlns="http://schemas.openxmlformats.org/spreadsheetml/2006/main">
  <sheetPr>
    <tabColor rgb="001F3864"/>
    <outlinePr summaryBelow="1" summaryRight="1"/>
    <pageSetUpPr/>
  </sheetPr>
  <dimension ref="A1:F15"/>
  <sheetViews>
    <sheetView showGridLines="0" workbookViewId="0">
      <pane ySplit="5" topLeftCell="A6" activePane="bottomLeft" state="frozen"/>
      <selection pane="bottomLeft" activeCell="A1" sqref="A1"/>
    </sheetView>
  </sheetViews>
  <sheetFormatPr baseColWidth="8" defaultRowHeight="15"/>
  <cols>
    <col width="22" customWidth="1" min="1" max="1"/>
    <col width="22" customWidth="1" min="2" max="2"/>
    <col width="74" customWidth="1" min="3" max="3"/>
    <col width="20" customWidth="1" min="4" max="4"/>
  </cols>
  <sheetData>
    <row r="1" ht="26" customHeight="1">
      <c r="A1" s="1" t="inlineStr">
        <is>
          <t>Dataset 1.9  —  FIND and SEARCH</t>
        </is>
      </c>
    </row>
    <row r="2" ht="16" customHeight="1">
      <c r="A2" s="2" t="inlineStr">
        <is>
          <t>Session 1: Advanced Lookup, Text &amp; Date Functions | Part B: Advanced Text Functions   |   Adamjee Assurance Company Limited (Pakistan) — training data, figures in PKR</t>
        </is>
      </c>
    </row>
    <row r="4">
      <c r="A4" s="9" t="inlineStr">
        <is>
          <t>Table A — Claim Intimation Remarks (free text, positions vary)</t>
        </is>
      </c>
    </row>
    <row r="5" ht="30" customHeight="1">
      <c r="A5" s="10" t="inlineStr">
        <is>
          <t>Claim No</t>
        </is>
      </c>
      <c r="B5" s="10" t="inlineStr">
        <is>
          <t>Branch</t>
        </is>
      </c>
      <c r="C5" s="10" t="inlineStr">
        <is>
          <t>Intimation Remark</t>
        </is>
      </c>
      <c r="D5" s="10" t="inlineStr">
        <is>
          <t>Claimed Amount (PKR)</t>
        </is>
      </c>
    </row>
    <row r="6">
      <c r="A6" s="7" t="inlineStr">
        <is>
          <t>CLM-KHI-2024-0501</t>
        </is>
      </c>
      <c r="B6" s="7" t="inlineStr">
        <is>
          <t>Karachi Main</t>
        </is>
      </c>
      <c r="C6" s="7" t="inlineStr">
        <is>
          <t>Vehicle Reg: AEE-1234 | Surveyor: Crawford Pakistan | Ref#45231</t>
        </is>
      </c>
      <c r="D6" s="11" t="n">
        <v>385000</v>
      </c>
    </row>
    <row r="7">
      <c r="A7" s="15" t="inlineStr">
        <is>
          <t>CLM-LHR-2024-0502</t>
        </is>
      </c>
      <c r="B7" s="15" t="inlineStr">
        <is>
          <t>Lahore Gulberg</t>
        </is>
      </c>
      <c r="C7" s="15" t="inlineStr">
        <is>
          <t>Vehicle Reg: LEB-8890 | Surveyor: Alpha Loss Adjusters | Ref#45298</t>
        </is>
      </c>
      <c r="D7" s="14" t="n">
        <v>1240000</v>
      </c>
    </row>
    <row r="8">
      <c r="A8" s="7" t="inlineStr">
        <is>
          <t>CLM-ISB-2024-0503</t>
        </is>
      </c>
      <c r="B8" s="7" t="inlineStr">
        <is>
          <t>Islamabad Blue Area</t>
        </is>
      </c>
      <c r="C8" s="7" t="inlineStr">
        <is>
          <t>Vehicle Reg: ICT-4471 | Surveyor: Rehman Surveyors Pvt Ltd | Ref#45310</t>
        </is>
      </c>
      <c r="D8" s="11" t="n">
        <v>92500</v>
      </c>
    </row>
    <row r="9">
      <c r="A9" s="15" t="inlineStr">
        <is>
          <t>CLM-FSD-2024-0504</t>
        </is>
      </c>
      <c r="B9" s="15" t="inlineStr">
        <is>
          <t>Faisalabad</t>
        </is>
      </c>
      <c r="C9" s="15" t="inlineStr">
        <is>
          <t>Vehicle Reg: FDR-2209 | Surveyor: Ravi Assessors | Ref#45344</t>
        </is>
      </c>
      <c r="D9" s="14" t="n">
        <v>660000</v>
      </c>
    </row>
    <row r="10">
      <c r="A10" s="7" t="inlineStr">
        <is>
          <t>CLM-MUL-2024-0505</t>
        </is>
      </c>
      <c r="B10" s="7" t="inlineStr">
        <is>
          <t>Multan</t>
        </is>
      </c>
      <c r="C10" s="7" t="inlineStr">
        <is>
          <t>vehicle reg: MNJ-7712 | surveyor: Sindh Survey Services | ref#45390</t>
        </is>
      </c>
      <c r="D10" s="11" t="n">
        <v>208000</v>
      </c>
    </row>
    <row r="11">
      <c r="A11" s="15" t="inlineStr">
        <is>
          <t>CLM-KHI-2024-0506</t>
        </is>
      </c>
      <c r="B11" s="15" t="inlineStr">
        <is>
          <t>Karachi Main</t>
        </is>
      </c>
      <c r="C11" s="15" t="inlineStr">
        <is>
          <t>Vehicle Reg: AKL-0056 | Surveyor: Crawford Pakistan | Ref#45412</t>
        </is>
      </c>
      <c r="D11" s="14" t="n">
        <v>1875000</v>
      </c>
    </row>
    <row r="12">
      <c r="A12" s="7" t="inlineStr">
        <is>
          <t>CLM-PEW-2024-0507</t>
        </is>
      </c>
      <c r="B12" s="7" t="inlineStr">
        <is>
          <t>Peshawar</t>
        </is>
      </c>
      <c r="C12" s="7" t="inlineStr">
        <is>
          <t>Vehicle Reg: PSR-3390 | Surveyor: Alpha Loss Adjusters | Ref#45457</t>
        </is>
      </c>
      <c r="D12" s="11" t="n">
        <v>445000</v>
      </c>
    </row>
    <row r="13">
      <c r="A13" s="15" t="inlineStr">
        <is>
          <t>CLM-HYD-2024-0508</t>
        </is>
      </c>
      <c r="B13" s="15" t="inlineStr">
        <is>
          <t>Hyderabad</t>
        </is>
      </c>
      <c r="C13" s="15" t="inlineStr">
        <is>
          <t>Vehicle Reg: HDA-6621 | Surveyor: Ravi Assessors | Ref#45501</t>
        </is>
      </c>
      <c r="D13" s="14" t="n">
        <v>130000</v>
      </c>
    </row>
    <row r="15">
      <c r="A1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tabColor rgb="00C00000"/>
    <outlinePr summaryBelow="1" summaryRight="1"/>
    <pageSetUpPr/>
  </sheetPr>
  <dimension ref="A1:L29"/>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Motor Claims Intimation Register — fields extracted</t>
        </is>
      </c>
    </row>
    <row r="3">
      <c r="A3" s="21" t="inlineStr">
        <is>
          <t>Prepared for:</t>
        </is>
      </c>
      <c r="B3" s="22" t="inlineStr">
        <is>
          <t>Manager, Motor Claims</t>
        </is>
      </c>
    </row>
    <row r="4">
      <c r="A4" s="21" t="inlineStr">
        <is>
          <t>Prepared by:</t>
        </is>
      </c>
      <c r="B4" s="23" t="n"/>
    </row>
    <row r="5">
      <c r="A5" s="21" t="inlineStr">
        <is>
          <t>Reporting date:</t>
        </is>
      </c>
      <c r="B5" s="22" t="inlineStr">
        <is>
          <t>As at reporting date shown on the dataset</t>
        </is>
      </c>
    </row>
    <row r="7" ht="44" customHeight="1">
      <c r="A7" s="24" t="inlineStr">
        <is>
          <t>Claim intimations arrive by email and the whole detail sits in one free-text remark field. The surveyor allocation report is currently produced by reading each remark and typing the three fields out, which takes an afternoon a week and is the reason surveyor workload is never accurate.</t>
        </is>
      </c>
    </row>
    <row r="9">
      <c r="A9" s="25" t="inlineStr">
        <is>
          <t>Source data: '1.9 Data'  (click to open)</t>
        </is>
      </c>
    </row>
    <row r="11" ht="16" customHeight="1">
      <c r="A11" s="26" t="inlineStr">
        <is>
          <t>Navy headers below = data linked live from the dataset sheet.   Gold headers = blank — build your formula here.</t>
        </is>
      </c>
    </row>
    <row r="12" ht="30" customHeight="1">
      <c r="A12" s="10" t="inlineStr">
        <is>
          <t>Claim No</t>
        </is>
      </c>
      <c r="B12" s="10" t="inlineStr">
        <is>
          <t>Branch</t>
        </is>
      </c>
      <c r="C12" s="27" t="inlineStr">
        <is>
          <t>Vehicle Registration</t>
        </is>
      </c>
      <c r="D12" s="27" t="inlineStr">
        <is>
          <t>Surveyor Firm</t>
        </is>
      </c>
      <c r="E12" s="27" t="inlineStr">
        <is>
          <t>Reference No</t>
        </is>
      </c>
      <c r="F12" s="10" t="inlineStr">
        <is>
          <t>Claimed Amount</t>
        </is>
      </c>
    </row>
    <row r="13">
      <c r="A13" s="7">
        <f>'1.9 Data'!A6</f>
        <v/>
      </c>
      <c r="B13" s="7">
        <f>'1.9 Data'!B6</f>
        <v/>
      </c>
      <c r="C13" s="28" t="n"/>
      <c r="D13" s="28" t="n"/>
      <c r="E13" s="28" t="n"/>
      <c r="F13" s="11">
        <f>'1.9 Data'!D6</f>
        <v/>
      </c>
    </row>
    <row r="14">
      <c r="A14" s="15">
        <f>'1.9 Data'!A7</f>
        <v/>
      </c>
      <c r="B14" s="15">
        <f>'1.9 Data'!B7</f>
        <v/>
      </c>
      <c r="C14" s="28" t="n"/>
      <c r="D14" s="28" t="n"/>
      <c r="E14" s="28" t="n"/>
      <c r="F14" s="14">
        <f>'1.9 Data'!D7</f>
        <v/>
      </c>
    </row>
    <row r="15">
      <c r="A15" s="7">
        <f>'1.9 Data'!A8</f>
        <v/>
      </c>
      <c r="B15" s="7">
        <f>'1.9 Data'!B8</f>
        <v/>
      </c>
      <c r="C15" s="28" t="n"/>
      <c r="D15" s="28" t="n"/>
      <c r="E15" s="28" t="n"/>
      <c r="F15" s="11">
        <f>'1.9 Data'!D8</f>
        <v/>
      </c>
    </row>
    <row r="16">
      <c r="A16" s="15">
        <f>'1.9 Data'!A9</f>
        <v/>
      </c>
      <c r="B16" s="15">
        <f>'1.9 Data'!B9</f>
        <v/>
      </c>
      <c r="C16" s="28" t="n"/>
      <c r="D16" s="28" t="n"/>
      <c r="E16" s="28" t="n"/>
      <c r="F16" s="14">
        <f>'1.9 Data'!D9</f>
        <v/>
      </c>
    </row>
    <row r="17">
      <c r="A17" s="7">
        <f>'1.9 Data'!A10</f>
        <v/>
      </c>
      <c r="B17" s="7">
        <f>'1.9 Data'!B10</f>
        <v/>
      </c>
      <c r="C17" s="28" t="n"/>
      <c r="D17" s="28" t="n"/>
      <c r="E17" s="28" t="n"/>
      <c r="F17" s="11">
        <f>'1.9 Data'!D10</f>
        <v/>
      </c>
    </row>
    <row r="18">
      <c r="A18" s="15">
        <f>'1.9 Data'!A11</f>
        <v/>
      </c>
      <c r="B18" s="15">
        <f>'1.9 Data'!B11</f>
        <v/>
      </c>
      <c r="C18" s="28" t="n"/>
      <c r="D18" s="28" t="n"/>
      <c r="E18" s="28" t="n"/>
      <c r="F18" s="14">
        <f>'1.9 Data'!D11</f>
        <v/>
      </c>
    </row>
    <row r="19">
      <c r="A19" s="7">
        <f>'1.9 Data'!A12</f>
        <v/>
      </c>
      <c r="B19" s="7">
        <f>'1.9 Data'!B12</f>
        <v/>
      </c>
      <c r="C19" s="28" t="n"/>
      <c r="D19" s="28" t="n"/>
      <c r="E19" s="28" t="n"/>
      <c r="F19" s="11">
        <f>'1.9 Data'!D12</f>
        <v/>
      </c>
    </row>
    <row r="20">
      <c r="A20" s="15">
        <f>'1.9 Data'!A13</f>
        <v/>
      </c>
      <c r="B20" s="15">
        <f>'1.9 Data'!B13</f>
        <v/>
      </c>
      <c r="C20" s="28" t="n"/>
      <c r="D20" s="28" t="n"/>
      <c r="E20" s="28" t="n"/>
      <c r="F20" s="14">
        <f>'1.9 Data'!D13</f>
        <v/>
      </c>
    </row>
    <row r="21">
      <c r="A21" s="29" t="inlineStr">
        <is>
          <t>TOTAL / RESULT</t>
        </is>
      </c>
      <c r="B21" s="30" t="n"/>
      <c r="C21" s="31" t="n"/>
      <c r="D21" s="31" t="n"/>
      <c r="E21" s="31" t="n"/>
      <c r="F21" s="30" t="n"/>
    </row>
    <row r="23" ht="32" customHeight="1">
      <c r="A23"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5" ht="19" customHeight="1">
      <c r="A25" s="33" t="inlineStr">
        <is>
          <t>FURTHER REQUESTS ON THIS DATASET</t>
        </is>
      </c>
    </row>
    <row r="26" ht="20" customHeight="1">
      <c r="A26" s="34" t="inlineStr">
        <is>
          <t>#</t>
        </is>
      </c>
      <c r="B26" s="34" t="inlineStr">
        <is>
          <t>Request</t>
        </is>
      </c>
      <c r="C26" s="34" t="inlineStr">
        <is>
          <t>Requested by</t>
        </is>
      </c>
      <c r="D26" s="34" t="inlineStr">
        <is>
          <t>Report / figure required</t>
        </is>
      </c>
      <c r="E26" s="34" t="inlineStr">
        <is>
          <t>Your formula or answer</t>
        </is>
      </c>
    </row>
    <row r="27" ht="65" customHeight="1">
      <c r="A27" s="35" t="n">
        <v>1</v>
      </c>
      <c r="B27" s="36" t="inlineStr">
        <is>
          <t>Surveyor Workload and Fee Accrual Report</t>
        </is>
      </c>
      <c r="C27" s="37" t="inlineStr">
        <is>
          <t>Head of Claims Operations</t>
        </is>
      </c>
      <c r="D27" s="38" t="inlineStr">
        <is>
          <t>A surveyor summary: Surveyor Firm | Cases Allocated | Total Claimed Amount | Average Claim Size | Share of cases %. Built on the extracted surveyor field, sorted by cases descending.</t>
        </is>
      </c>
      <c r="E27" s="39" t="n"/>
    </row>
    <row r="28" ht="65" customHeight="1">
      <c r="A28" s="35" t="n">
        <v>2</v>
      </c>
      <c r="B28" s="36" t="inlineStr">
        <is>
          <t>Case-sensitivity defect report</t>
        </is>
      </c>
      <c r="C28" s="37" t="inlineStr">
        <is>
          <t>Head of MIS</t>
        </is>
      </c>
      <c r="D28" s="38" t="inlineStr">
        <is>
          <t>A defect note plus the corrected formula: identify the affected row, state which of FIND and SEARCH failed and why, and show the formula that works for both upper and lower case.</t>
        </is>
      </c>
      <c r="E28" s="39" t="n"/>
    </row>
    <row r="29" ht="65" customHeight="1">
      <c r="A29" s="35" t="n">
        <v>3</v>
      </c>
      <c r="B29" s="36" t="inlineStr">
        <is>
          <t>Incomplete intimation exception list</t>
        </is>
      </c>
      <c r="C29" s="37" t="inlineStr">
        <is>
          <t>Manager, Motor Claims</t>
        </is>
      </c>
      <c r="D29" s="38" t="inlineStr">
        <is>
          <t>An exception list flagging any intimation whose remark does not contain the word 'Surveyor', with Claim No, Branch and the remark as received, plus a count at the top for the daily stand-up.</t>
        </is>
      </c>
      <c r="E29" s="39" t="n"/>
    </row>
  </sheetData>
  <mergeCells count="6">
    <mergeCell ref="A2:L2"/>
    <mergeCell ref="A11:F11"/>
    <mergeCell ref="A7:K7"/>
    <mergeCell ref="A1:L1"/>
    <mergeCell ref="A23:F23"/>
    <mergeCell ref="A25:F25"/>
  </mergeCells>
  <hyperlinks>
    <hyperlink xmlns:r="http://schemas.openxmlformats.org/officeDocument/2006/relationships" ref="A9" r:id="rId1"/>
  </hyperlinks>
  <pageMargins left="0.75" right="0.75" top="1" bottom="1" header="0.5" footer="0.5"/>
</worksheet>
</file>

<file path=xl/worksheets/sheet20.xml><?xml version="1.0" encoding="utf-8"?>
<worksheet xmlns="http://schemas.openxmlformats.org/spreadsheetml/2006/main">
  <sheetPr>
    <tabColor rgb="001F3864"/>
    <outlinePr summaryBelow="1" summaryRight="1"/>
    <pageSetUpPr/>
  </sheetPr>
  <dimension ref="A1:F26"/>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22" customWidth="1" min="3" max="3"/>
    <col width="20" customWidth="1" min="4" max="4"/>
  </cols>
  <sheetData>
    <row r="1" ht="26" customHeight="1">
      <c r="A1" s="1" t="inlineStr">
        <is>
          <t>Dataset 1.10  —  LEN, TRIM, CLEAN</t>
        </is>
      </c>
    </row>
    <row r="2" ht="16" customHeight="1">
      <c r="A2" s="2" t="inlineStr">
        <is>
          <t>Session 1: Advanced Lookup, Text &amp; Date Functions | Part B: Advanced Text Functions   |   Adamjee Assurance Company Limited (Pakistan) — training data, figures in PKR</t>
        </is>
      </c>
    </row>
    <row r="4">
      <c r="A4" s="9" t="inlineStr">
        <is>
          <t>Table A — Client names received from the bancassurance partner (dirty)</t>
        </is>
      </c>
    </row>
    <row r="5" ht="30" customHeight="1">
      <c r="A5" s="10" t="inlineStr">
        <is>
          <t>Line</t>
        </is>
      </c>
      <c r="B5" s="10" t="inlineStr">
        <is>
          <t>Client Name (as received)</t>
        </is>
      </c>
      <c r="C5" s="10" t="inlineStr">
        <is>
          <t>CNIC / NTN</t>
        </is>
      </c>
      <c r="D5" s="10" t="inlineStr">
        <is>
          <t>Sum Insured (PKR)</t>
        </is>
      </c>
    </row>
    <row r="6">
      <c r="A6" s="43" t="n">
        <v>1</v>
      </c>
      <c r="B6" s="7" t="inlineStr">
        <is>
          <t xml:space="preserve">  Gul Ahmed Textile Mills Ltd</t>
        </is>
      </c>
      <c r="C6" s="7" t="inlineStr">
        <is>
          <t>0713456-7</t>
        </is>
      </c>
      <c r="D6" s="11" t="n">
        <v>45000000</v>
      </c>
    </row>
    <row r="7">
      <c r="A7" s="42" t="n">
        <v>2</v>
      </c>
      <c r="B7" s="15" t="inlineStr">
        <is>
          <t>Lucky  Cement   Limited</t>
        </is>
      </c>
      <c r="C7" s="15" t="inlineStr">
        <is>
          <t>1234567-8</t>
        </is>
      </c>
      <c r="D7" s="14" t="n">
        <v>88000000</v>
      </c>
    </row>
    <row r="8">
      <c r="A8" s="43" t="n">
        <v>3</v>
      </c>
      <c r="B8" s="7" t="inlineStr">
        <is>
          <t xml:space="preserve">Ahmed Raza Qureshi </t>
        </is>
      </c>
      <c r="C8" s="7" t="inlineStr">
        <is>
          <t>42101-1234567-1</t>
        </is>
      </c>
      <c r="D8" s="11" t="n">
        <v>6900000</v>
      </c>
    </row>
    <row r="9">
      <c r="A9" s="42" t="n">
        <v>4</v>
      </c>
      <c r="B9" s="15" t="inlineStr">
        <is>
          <t>Nishat Mills
Limited</t>
        </is>
      </c>
      <c r="C9" s="15" t="inlineStr">
        <is>
          <t>0918822-3</t>
        </is>
      </c>
      <c r="D9" s="14" t="n">
        <v>62500000</v>
      </c>
    </row>
    <row r="10">
      <c r="A10" s="43" t="n">
        <v>5</v>
      </c>
      <c r="B10" s="7" t="inlineStr">
        <is>
          <t xml:space="preserve">  Fatima   Siddiqui  </t>
        </is>
      </c>
      <c r="C10" s="7" t="inlineStr">
        <is>
          <t>35202-9876543-2</t>
        </is>
      </c>
      <c r="D10" s="11" t="n">
        <v>1950000</v>
      </c>
    </row>
    <row r="11">
      <c r="A11" s="42" t="n">
        <v>6</v>
      </c>
      <c r="B11" s="15" t="inlineStr">
        <is>
          <t xml:space="preserve">K-Electric Limited	</t>
        </is>
      </c>
      <c r="C11" s="15" t="inlineStr">
        <is>
          <t>0511223-4</t>
        </is>
      </c>
      <c r="D11" s="14" t="n">
        <v>120000000</v>
      </c>
    </row>
    <row r="12">
      <c r="A12" s="43" t="n">
        <v>7</v>
      </c>
      <c r="B12" s="7" t="inlineStr">
        <is>
          <t xml:space="preserve">Interloop
Limited </t>
        </is>
      </c>
      <c r="C12" s="7" t="inlineStr">
        <is>
          <t>3301144-5</t>
        </is>
      </c>
      <c r="D12" s="11" t="n">
        <v>22500000</v>
      </c>
    </row>
    <row r="13">
      <c r="A13" s="42" t="n">
        <v>8</v>
      </c>
      <c r="B13" s="15" t="inlineStr">
        <is>
          <t>Bilal  Ahmed  Khan</t>
        </is>
      </c>
      <c r="C13" s="15" t="inlineStr">
        <is>
          <t>61101-4455667-9</t>
        </is>
      </c>
      <c r="D13" s="14" t="n">
        <v>9990000</v>
      </c>
    </row>
    <row r="15">
      <c r="A15" s="9" t="inlineStr">
        <is>
          <t>Table B — Adamjee Policy Master (clean names, for matching)</t>
        </is>
      </c>
    </row>
    <row r="16" ht="30" customHeight="1">
      <c r="A16" s="10" t="inlineStr">
        <is>
          <t>Client Name</t>
        </is>
      </c>
      <c r="B16" s="10" t="inlineStr">
        <is>
          <t>Client Code</t>
        </is>
      </c>
      <c r="C16" s="10" t="inlineStr">
        <is>
          <t>Branch</t>
        </is>
      </c>
      <c r="D16" s="10" t="inlineStr">
        <is>
          <t>Gross Premium (PKR)</t>
        </is>
      </c>
    </row>
    <row r="17">
      <c r="A17" s="7" t="inlineStr">
        <is>
          <t>Gul Ahmed Textile Mills Ltd</t>
        </is>
      </c>
      <c r="B17" s="7" t="inlineStr">
        <is>
          <t>KHI-CORP-0100</t>
        </is>
      </c>
      <c r="C17" s="7" t="inlineStr">
        <is>
          <t>Karachi Main</t>
        </is>
      </c>
      <c r="D17" s="11" t="n">
        <v>985000</v>
      </c>
    </row>
    <row r="18">
      <c r="A18" s="15" t="inlineStr">
        <is>
          <t>Lucky Cement Limited</t>
        </is>
      </c>
      <c r="B18" s="15" t="inlineStr">
        <is>
          <t>KHI-CORP-0102</t>
        </is>
      </c>
      <c r="C18" s="15" t="inlineStr">
        <is>
          <t>Karachi Main</t>
        </is>
      </c>
      <c r="D18" s="14" t="n">
        <v>1640000</v>
      </c>
    </row>
    <row r="19">
      <c r="A19" s="7" t="inlineStr">
        <is>
          <t>Ahmed Raza Qureshi</t>
        </is>
      </c>
      <c r="B19" s="7" t="inlineStr">
        <is>
          <t>KHI-INDV-0107</t>
        </is>
      </c>
      <c r="C19" s="7" t="inlineStr">
        <is>
          <t>Karachi Main</t>
        </is>
      </c>
      <c r="D19" s="11" t="n">
        <v>148000</v>
      </c>
    </row>
    <row r="20">
      <c r="A20" s="15" t="inlineStr">
        <is>
          <t>Nishat Mills Limited</t>
        </is>
      </c>
      <c r="B20" s="15" t="inlineStr">
        <is>
          <t>LHR-CORP-0111</t>
        </is>
      </c>
      <c r="C20" s="15" t="inlineStr">
        <is>
          <t>Lahore Gulberg</t>
        </is>
      </c>
      <c r="D20" s="14" t="n">
        <v>1210000</v>
      </c>
    </row>
    <row r="21">
      <c r="A21" s="7" t="inlineStr">
        <is>
          <t>Fatima Siddiqui</t>
        </is>
      </c>
      <c r="B21" s="7" t="inlineStr">
        <is>
          <t>LHR-INDV-0113</t>
        </is>
      </c>
      <c r="C21" s="7" t="inlineStr">
        <is>
          <t>Lahore Gulberg</t>
        </is>
      </c>
      <c r="D21" s="11" t="n">
        <v>46800</v>
      </c>
    </row>
    <row r="22">
      <c r="A22" s="15" t="inlineStr">
        <is>
          <t>K-Electric Limited</t>
        </is>
      </c>
      <c r="B22" s="15" t="inlineStr">
        <is>
          <t>KHI-CORP-0121</t>
        </is>
      </c>
      <c r="C22" s="15" t="inlineStr">
        <is>
          <t>Karachi Main</t>
        </is>
      </c>
      <c r="D22" s="14" t="n">
        <v>3480000</v>
      </c>
    </row>
    <row r="23">
      <c r="A23" s="7" t="inlineStr">
        <is>
          <t>Interloop Limited</t>
        </is>
      </c>
      <c r="B23" s="7" t="inlineStr">
        <is>
          <t>FSD-CORP-0118</t>
        </is>
      </c>
      <c r="C23" s="7" t="inlineStr">
        <is>
          <t>Faisalabad</t>
        </is>
      </c>
      <c r="D23" s="11" t="n">
        <v>720000</v>
      </c>
    </row>
    <row r="24">
      <c r="A24" s="15" t="inlineStr">
        <is>
          <t>Bilal Ahmed Khan</t>
        </is>
      </c>
      <c r="B24" s="15" t="inlineStr">
        <is>
          <t>ISB-INDV-0125</t>
        </is>
      </c>
      <c r="C24" s="15" t="inlineStr">
        <is>
          <t>Islamabad Blue Area</t>
        </is>
      </c>
      <c r="D24" s="14" t="n">
        <v>205000</v>
      </c>
    </row>
    <row r="26">
      <c r="A26"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21.xml><?xml version="1.0" encoding="utf-8"?>
<worksheet xmlns="http://schemas.openxmlformats.org/spreadsheetml/2006/main">
  <sheetPr>
    <tabColor rgb="00C00000"/>
    <outlinePr summaryBelow="1" summaryRight="1"/>
    <pageSetUpPr/>
  </sheetPr>
  <dimension ref="A1:L29"/>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Bancassurance Reconciliation — matched and unmatched</t>
        </is>
      </c>
    </row>
    <row r="3">
      <c r="A3" s="21" t="inlineStr">
        <is>
          <t>Prepared for:</t>
        </is>
      </c>
      <c r="B3" s="22" t="inlineStr">
        <is>
          <t>Head of Bancassurance</t>
        </is>
      </c>
    </row>
    <row r="4">
      <c r="A4" s="21" t="inlineStr">
        <is>
          <t>Prepared by:</t>
        </is>
      </c>
      <c r="B4" s="23" t="n"/>
    </row>
    <row r="5">
      <c r="A5" s="21" t="inlineStr">
        <is>
          <t>Reporting date:</t>
        </is>
      </c>
      <c r="B5" s="22" t="inlineStr">
        <is>
          <t>As at reporting date shown on the dataset</t>
        </is>
      </c>
    </row>
    <row r="7" ht="44" customHeight="1">
      <c r="A7" s="24" t="inlineStr">
        <is>
          <t>The partner bank's monthly client file will not match the Adamjee policy master. On screen the names look identical, yet the lookup returns N/A on five of eight rows. The commission settlement with the bank is held up as a result and the relationship manager has escalated it twice.</t>
        </is>
      </c>
    </row>
    <row r="9">
      <c r="A9" s="25" t="inlineStr">
        <is>
          <t>Source data: '1.10 Data'  (click to open)</t>
        </is>
      </c>
    </row>
    <row r="11" ht="16" customHeight="1">
      <c r="A11" s="26" t="inlineStr">
        <is>
          <t>Navy headers below = data linked live from the dataset sheet.   Gold headers = blank — build your formula here.</t>
        </is>
      </c>
    </row>
    <row r="12" ht="30" customHeight="1">
      <c r="A12" s="10" t="inlineStr">
        <is>
          <t>Line</t>
        </is>
      </c>
      <c r="B12" s="10" t="inlineStr">
        <is>
          <t>Name as received</t>
        </is>
      </c>
      <c r="C12" s="27" t="inlineStr">
        <is>
          <t>Character count</t>
        </is>
      </c>
      <c r="D12" s="27" t="inlineStr">
        <is>
          <t>Cleaned name</t>
        </is>
      </c>
      <c r="E12" s="27" t="inlineStr">
        <is>
          <t>Client Code matched</t>
        </is>
      </c>
      <c r="F12" s="27" t="inlineStr">
        <is>
          <t>Status (Matched / Unmatched)</t>
        </is>
      </c>
    </row>
    <row r="13">
      <c r="A13" s="7">
        <f>'1.10 Data'!A6</f>
        <v/>
      </c>
      <c r="B13" s="7">
        <f>'1.10 Data'!B6</f>
        <v/>
      </c>
      <c r="C13" s="28" t="n"/>
      <c r="D13" s="28" t="n"/>
      <c r="E13" s="28" t="n"/>
      <c r="F13" s="28" t="n"/>
    </row>
    <row r="14">
      <c r="A14" s="15">
        <f>'1.10 Data'!A7</f>
        <v/>
      </c>
      <c r="B14" s="15">
        <f>'1.10 Data'!B7</f>
        <v/>
      </c>
      <c r="C14" s="28" t="n"/>
      <c r="D14" s="28" t="n"/>
      <c r="E14" s="28" t="n"/>
      <c r="F14" s="28" t="n"/>
    </row>
    <row r="15">
      <c r="A15" s="7">
        <f>'1.10 Data'!A8</f>
        <v/>
      </c>
      <c r="B15" s="7">
        <f>'1.10 Data'!B8</f>
        <v/>
      </c>
      <c r="C15" s="28" t="n"/>
      <c r="D15" s="28" t="n"/>
      <c r="E15" s="28" t="n"/>
      <c r="F15" s="28" t="n"/>
    </row>
    <row r="16">
      <c r="A16" s="15">
        <f>'1.10 Data'!A9</f>
        <v/>
      </c>
      <c r="B16" s="15">
        <f>'1.10 Data'!B9</f>
        <v/>
      </c>
      <c r="C16" s="28" t="n"/>
      <c r="D16" s="28" t="n"/>
      <c r="E16" s="28" t="n"/>
      <c r="F16" s="28" t="n"/>
    </row>
    <row r="17">
      <c r="A17" s="7">
        <f>'1.10 Data'!A10</f>
        <v/>
      </c>
      <c r="B17" s="7">
        <f>'1.10 Data'!B10</f>
        <v/>
      </c>
      <c r="C17" s="28" t="n"/>
      <c r="D17" s="28" t="n"/>
      <c r="E17" s="28" t="n"/>
      <c r="F17" s="28" t="n"/>
    </row>
    <row r="18">
      <c r="A18" s="15">
        <f>'1.10 Data'!A11</f>
        <v/>
      </c>
      <c r="B18" s="15">
        <f>'1.10 Data'!B11</f>
        <v/>
      </c>
      <c r="C18" s="28" t="n"/>
      <c r="D18" s="28" t="n"/>
      <c r="E18" s="28" t="n"/>
      <c r="F18" s="28" t="n"/>
    </row>
    <row r="19">
      <c r="A19" s="7">
        <f>'1.10 Data'!A12</f>
        <v/>
      </c>
      <c r="B19" s="7">
        <f>'1.10 Data'!B12</f>
        <v/>
      </c>
      <c r="C19" s="28" t="n"/>
      <c r="D19" s="28" t="n"/>
      <c r="E19" s="28" t="n"/>
      <c r="F19" s="28" t="n"/>
    </row>
    <row r="20">
      <c r="A20" s="15">
        <f>'1.10 Data'!A13</f>
        <v/>
      </c>
      <c r="B20" s="15">
        <f>'1.10 Data'!B13</f>
        <v/>
      </c>
      <c r="C20" s="28" t="n"/>
      <c r="D20" s="28" t="n"/>
      <c r="E20" s="28" t="n"/>
      <c r="F20" s="28" t="n"/>
    </row>
    <row r="21">
      <c r="A21" s="29" t="inlineStr">
        <is>
          <t>TOTAL / RESULT</t>
        </is>
      </c>
      <c r="B21" s="30" t="n"/>
      <c r="C21" s="31" t="n"/>
      <c r="D21" s="31" t="n"/>
      <c r="E21" s="31" t="n"/>
      <c r="F21" s="31" t="n"/>
    </row>
    <row r="23" ht="32" customHeight="1">
      <c r="A23"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5" ht="19" customHeight="1">
      <c r="A25" s="33" t="inlineStr">
        <is>
          <t>FURTHER REQUESTS ON THIS DATASET</t>
        </is>
      </c>
    </row>
    <row r="26" ht="20" customHeight="1">
      <c r="A26" s="34" t="inlineStr">
        <is>
          <t>#</t>
        </is>
      </c>
      <c r="B26" s="34" t="inlineStr">
        <is>
          <t>Request</t>
        </is>
      </c>
      <c r="C26" s="34" t="inlineStr">
        <is>
          <t>Requested by</t>
        </is>
      </c>
      <c r="D26" s="34" t="inlineStr">
        <is>
          <t>Report / figure required</t>
        </is>
      </c>
      <c r="E26" s="34" t="inlineStr">
        <is>
          <t>Your formula or answer</t>
        </is>
      </c>
    </row>
    <row r="27" ht="78" customHeight="1">
      <c r="A27" s="35" t="n">
        <v>1</v>
      </c>
      <c r="B27" s="36" t="inlineStr">
        <is>
          <t>Data quality defect log for the partner bank</t>
        </is>
      </c>
      <c r="C27" s="37" t="inlineStr">
        <is>
          <t>Head of Bancassurance</t>
        </is>
      </c>
      <c r="D27" s="38" t="inlineStr">
        <is>
          <t>A defect log: Line | Defect type (leading spaces / repeated inner spaces / trailing space / line feed / tab) | Extra characters counted | Example. One row per affected line, ready to attach to the email.</t>
        </is>
      </c>
      <c r="E27" s="39" t="n"/>
    </row>
    <row r="28" ht="78" customHeight="1">
      <c r="A28" s="35" t="n">
        <v>2</v>
      </c>
      <c r="B28" s="36" t="inlineStr">
        <is>
          <t>Commission settlement schedule</t>
        </is>
      </c>
      <c r="C28" s="37" t="inlineStr">
        <is>
          <t>Finance Manager — Premium Accounting</t>
        </is>
      </c>
      <c r="D28" s="38" t="inlineStr">
        <is>
          <t>A settlement schedule: Client Code | Client Name | Branch | Gross Premium | Commission due at 12.5% | Sum Insured from the bank file. Only matched rows included; unmatched rows listed separately below.</t>
        </is>
      </c>
      <c r="E28" s="39" t="n"/>
    </row>
    <row r="29" ht="65" customHeight="1">
      <c r="A29" s="35" t="n">
        <v>3</v>
      </c>
      <c r="B29" s="36" t="inlineStr">
        <is>
          <t>Source-system prevention recommendation</t>
        </is>
      </c>
      <c r="C29" s="37" t="inlineStr">
        <is>
          <t>Head of Bancassurance</t>
        </is>
      </c>
      <c r="D29" s="38" t="inlineStr">
        <is>
          <t>A two-line recommendation for the bank, in the yellow box: the single data-quality rule they should apply at source, and what Adamjee will do at its end as a safety net.</t>
        </is>
      </c>
      <c r="E29" s="39" t="n"/>
    </row>
  </sheetData>
  <mergeCells count="6">
    <mergeCell ref="A2:L2"/>
    <mergeCell ref="A11:F11"/>
    <mergeCell ref="A7:K7"/>
    <mergeCell ref="A1:L1"/>
    <mergeCell ref="A23:F23"/>
    <mergeCell ref="A25:F25"/>
  </mergeCells>
  <hyperlinks>
    <hyperlink xmlns:r="http://schemas.openxmlformats.org/officeDocument/2006/relationships" ref="A9" r:id="rId1"/>
  </hyperlinks>
  <pageMargins left="0.75" right="0.75" top="1" bottom="1" header="0.5" footer="0.5"/>
</worksheet>
</file>

<file path=xl/worksheets/sheet22.xml><?xml version="1.0" encoding="utf-8"?>
<worksheet xmlns="http://schemas.openxmlformats.org/spreadsheetml/2006/main">
  <sheetPr>
    <tabColor rgb="001F3864"/>
    <outlinePr summaryBelow="1" summaryRight="1"/>
    <pageSetUpPr/>
  </sheetPr>
  <dimension ref="A1:F24"/>
  <sheetViews>
    <sheetView showGridLines="0" workbookViewId="0">
      <pane ySplit="5" topLeftCell="A6" activePane="bottomLeft" state="frozen"/>
      <selection pane="bottomLeft" activeCell="A1" sqref="A1"/>
    </sheetView>
  </sheetViews>
  <sheetFormatPr baseColWidth="8" defaultRowHeight="15"/>
  <cols>
    <col width="14" customWidth="1" min="1" max="1"/>
    <col width="14" customWidth="1" min="2" max="2"/>
    <col width="24" customWidth="1" min="3" max="3"/>
    <col width="20" customWidth="1" min="4" max="4"/>
    <col width="18" customWidth="1" min="5" max="5"/>
    <col width="18" customWidth="1" min="6" max="6"/>
  </cols>
  <sheetData>
    <row r="1" ht="26" customHeight="1">
      <c r="A1" s="1" t="inlineStr">
        <is>
          <t>Dataset 1.11  —  SUBSTITUTE and REPLACE</t>
        </is>
      </c>
    </row>
    <row r="2" ht="16" customHeight="1">
      <c r="A2" s="2" t="inlineStr">
        <is>
          <t>Session 1: Advanced Lookup, Text &amp; Date Functions | Part B: Advanced Text Functions   |   Adamjee Assurance Company Limited (Pakistan) — training data, figures in PKR</t>
        </is>
      </c>
    </row>
    <row r="4">
      <c r="A4" s="9" t="inlineStr">
        <is>
          <t>Table A — Legacy register requiring re-coding and masking</t>
        </is>
      </c>
    </row>
    <row r="5" ht="30" customHeight="1">
      <c r="A5" s="10" t="inlineStr">
        <is>
          <t>Line</t>
        </is>
      </c>
      <c r="B5" s="10" t="inlineStr">
        <is>
          <t>Legacy Policy No</t>
        </is>
      </c>
      <c r="C5" s="10" t="inlineStr">
        <is>
          <t>Client Name</t>
        </is>
      </c>
      <c r="D5" s="10" t="inlineStr">
        <is>
          <t>CNIC</t>
        </is>
      </c>
      <c r="E5" s="10" t="inlineStr">
        <is>
          <t>Mobile</t>
        </is>
      </c>
      <c r="F5" s="10" t="inlineStr">
        <is>
          <t>Premium (PKR)</t>
        </is>
      </c>
    </row>
    <row r="6">
      <c r="A6" s="43" t="n">
        <v>1</v>
      </c>
      <c r="B6" s="7" t="inlineStr">
        <is>
          <t>ADM-MTR-KHI-2022-1044</t>
        </is>
      </c>
      <c r="C6" s="7" t="inlineStr">
        <is>
          <t>Gul Ahmed Textile Mills Ltd</t>
        </is>
      </c>
      <c r="D6" s="7" t="inlineStr">
        <is>
          <t>42101-1234567-1</t>
        </is>
      </c>
      <c r="E6" s="7" t="inlineStr">
        <is>
          <t>0300-2345678</t>
        </is>
      </c>
      <c r="F6" s="11" t="n">
        <v>985000</v>
      </c>
    </row>
    <row r="7">
      <c r="A7" s="42" t="n">
        <v>2</v>
      </c>
      <c r="B7" s="15" t="inlineStr">
        <is>
          <t>ADM-FIR-LHR-2022-1088</t>
        </is>
      </c>
      <c r="C7" s="15" t="inlineStr">
        <is>
          <t>Nishat Mills Limited</t>
        </is>
      </c>
      <c r="D7" s="15" t="inlineStr">
        <is>
          <t>35202-9876543-2</t>
        </is>
      </c>
      <c r="E7" s="15" t="inlineStr">
        <is>
          <t>0321-8765432</t>
        </is>
      </c>
      <c r="F7" s="14" t="n">
        <v>1210000</v>
      </c>
    </row>
    <row r="8">
      <c r="A8" s="43" t="n">
        <v>3</v>
      </c>
      <c r="B8" s="7" t="inlineStr">
        <is>
          <t>ADM-MAR-KHI-2022-1120</t>
        </is>
      </c>
      <c r="C8" s="7" t="inlineStr">
        <is>
          <t>Lucky Cement Limited</t>
        </is>
      </c>
      <c r="D8" s="7" t="inlineStr">
        <is>
          <t>42201-5566778-3</t>
        </is>
      </c>
      <c r="E8" s="7" t="inlineStr">
        <is>
          <t>0333-1122334</t>
        </is>
      </c>
      <c r="F8" s="11" t="n">
        <v>1640000</v>
      </c>
    </row>
    <row r="9">
      <c r="A9" s="42" t="n">
        <v>4</v>
      </c>
      <c r="B9" s="15" t="inlineStr">
        <is>
          <t>ADM-HLT-ISB-2022-1156</t>
        </is>
      </c>
      <c r="C9" s="15" t="inlineStr">
        <is>
          <t>Bilal Ahmed Khan</t>
        </is>
      </c>
      <c r="D9" s="15" t="inlineStr">
        <is>
          <t>61101-4455667-9</t>
        </is>
      </c>
      <c r="E9" s="15" t="inlineStr">
        <is>
          <t>0345-9988776</t>
        </is>
      </c>
      <c r="F9" s="14" t="n">
        <v>205000</v>
      </c>
    </row>
    <row r="10">
      <c r="A10" s="43" t="n">
        <v>5</v>
      </c>
      <c r="B10" s="7" t="inlineStr">
        <is>
          <t>ADM-ENG-FSD-2022-1190</t>
        </is>
      </c>
      <c r="C10" s="7" t="inlineStr">
        <is>
          <t>Interloop Limited</t>
        </is>
      </c>
      <c r="D10" s="7" t="inlineStr">
        <is>
          <t>33100-2233445-7</t>
        </is>
      </c>
      <c r="E10" s="7" t="inlineStr">
        <is>
          <t>0301-4455667</t>
        </is>
      </c>
      <c r="F10" s="11" t="n">
        <v>720000</v>
      </c>
    </row>
    <row r="11">
      <c r="A11" s="42" t="n">
        <v>6</v>
      </c>
      <c r="B11" s="15" t="inlineStr">
        <is>
          <t>ADM-MTR-LHR-2022-1215</t>
        </is>
      </c>
      <c r="C11" s="15" t="inlineStr">
        <is>
          <t>Fatima Siddiqui</t>
        </is>
      </c>
      <c r="D11" s="15" t="inlineStr">
        <is>
          <t>35201-7788990-4</t>
        </is>
      </c>
      <c r="E11" s="15" t="inlineStr">
        <is>
          <t>0312-3344556</t>
        </is>
      </c>
      <c r="F11" s="14" t="n">
        <v>46800</v>
      </c>
    </row>
    <row r="12">
      <c r="A12" s="43" t="n">
        <v>7</v>
      </c>
      <c r="B12" s="7" t="inlineStr">
        <is>
          <t>ADM-TRV-KHI-2022-1240</t>
        </is>
      </c>
      <c r="C12" s="7" t="inlineStr">
        <is>
          <t>Ahmed Raza Qureshi</t>
        </is>
      </c>
      <c r="D12" s="7" t="inlineStr">
        <is>
          <t>42000-1029384-5</t>
        </is>
      </c>
      <c r="E12" s="7" t="inlineStr">
        <is>
          <t>0308-6677889</t>
        </is>
      </c>
      <c r="F12" s="11" t="n">
        <v>148000</v>
      </c>
    </row>
    <row r="13">
      <c r="A13" s="42" t="n">
        <v>8</v>
      </c>
      <c r="B13" s="15" t="inlineStr">
        <is>
          <t>ADM-MSC-PEW-2022-1277</t>
        </is>
      </c>
      <c r="C13" s="15" t="inlineStr">
        <is>
          <t>Descon Engineering Ltd</t>
        </is>
      </c>
      <c r="D13" s="15" t="inlineStr">
        <is>
          <t>17301-5647382-6</t>
        </is>
      </c>
      <c r="E13" s="15" t="inlineStr">
        <is>
          <t>0311-2233445</t>
        </is>
      </c>
      <c r="F13" s="14" t="n">
        <v>640000</v>
      </c>
    </row>
    <row r="15">
      <c r="A15" s="9" t="inlineStr">
        <is>
          <t>Table B — Branch re-coding map (old code to new code)</t>
        </is>
      </c>
    </row>
    <row r="16" ht="30" customHeight="1">
      <c r="A16" s="10" t="inlineStr">
        <is>
          <t>Old Code</t>
        </is>
      </c>
      <c r="B16" s="10" t="inlineStr">
        <is>
          <t>New Code</t>
        </is>
      </c>
      <c r="C16" s="10" t="inlineStr">
        <is>
          <t>Branch</t>
        </is>
      </c>
    </row>
    <row r="17">
      <c r="A17" s="7" t="inlineStr">
        <is>
          <t>KHI</t>
        </is>
      </c>
      <c r="B17" s="7" t="inlineStr">
        <is>
          <t>KHIM</t>
        </is>
      </c>
      <c r="C17" s="7" t="inlineStr">
        <is>
          <t>Karachi Main</t>
        </is>
      </c>
    </row>
    <row r="18">
      <c r="A18" s="15" t="inlineStr">
        <is>
          <t>LHR</t>
        </is>
      </c>
      <c r="B18" s="15" t="inlineStr">
        <is>
          <t>LHGB</t>
        </is>
      </c>
      <c r="C18" s="15" t="inlineStr">
        <is>
          <t>Lahore Gulberg</t>
        </is>
      </c>
    </row>
    <row r="19">
      <c r="A19" s="7" t="inlineStr">
        <is>
          <t>ISB</t>
        </is>
      </c>
      <c r="B19" s="7" t="inlineStr">
        <is>
          <t>ISBA</t>
        </is>
      </c>
      <c r="C19" s="7" t="inlineStr">
        <is>
          <t>Islamabad Blue Area</t>
        </is>
      </c>
    </row>
    <row r="20">
      <c r="A20" s="15" t="inlineStr">
        <is>
          <t>FSD</t>
        </is>
      </c>
      <c r="B20" s="15" t="inlineStr">
        <is>
          <t>FSDC</t>
        </is>
      </c>
      <c r="C20" s="15" t="inlineStr">
        <is>
          <t>Faisalabad</t>
        </is>
      </c>
    </row>
    <row r="21">
      <c r="A21" s="7" t="inlineStr">
        <is>
          <t>PEW</t>
        </is>
      </c>
      <c r="B21" s="7" t="inlineStr">
        <is>
          <t>PEWC</t>
        </is>
      </c>
      <c r="C21" s="7" t="inlineStr">
        <is>
          <t>Peshawar</t>
        </is>
      </c>
    </row>
    <row r="22">
      <c r="A22" s="15" t="inlineStr">
        <is>
          <t>MUL</t>
        </is>
      </c>
      <c r="B22" s="15" t="inlineStr">
        <is>
          <t>MULC</t>
        </is>
      </c>
      <c r="C22" s="15" t="inlineStr">
        <is>
          <t>Multan</t>
        </is>
      </c>
    </row>
    <row r="24">
      <c r="A24"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23.xml><?xml version="1.0" encoding="utf-8"?>
<worksheet xmlns="http://schemas.openxmlformats.org/spreadsheetml/2006/main">
  <sheetPr>
    <tabColor rgb="00C00000"/>
    <outlinePr summaryBelow="1" summaryRight="1"/>
    <pageSetUpPr/>
  </sheetPr>
  <dimension ref="A1:L29"/>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Legacy Policy Re-coding Schedule</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Adamjee has moved to four-letter branch codes. Eight thousand legacy policy numbers still carry the old three-letter codes and the migration date is the end of this month. The first attempt re-coded Lahore policies as Karachi because the mapping was applied by hand.</t>
        </is>
      </c>
    </row>
    <row r="9">
      <c r="A9" s="25" t="inlineStr">
        <is>
          <t>Source data: '1.11 Data'  (click to open)</t>
        </is>
      </c>
    </row>
    <row r="11" ht="16" customHeight="1">
      <c r="A11" s="26" t="inlineStr">
        <is>
          <t>Navy headers below = data linked live from the dataset sheet.   Gold headers = blank — build your formula here.</t>
        </is>
      </c>
    </row>
    <row r="12" ht="30" customHeight="1">
      <c r="A12" s="10" t="inlineStr">
        <is>
          <t>Line</t>
        </is>
      </c>
      <c r="B12" s="10" t="inlineStr">
        <is>
          <t>Legacy Policy No</t>
        </is>
      </c>
      <c r="C12" s="27" t="inlineStr">
        <is>
          <t>New Policy No (year updated to 2025 and branch code converted)</t>
        </is>
      </c>
      <c r="D12" s="27" t="inlineStr">
        <is>
          <t>Old Code</t>
        </is>
      </c>
      <c r="E12" s="27" t="inlineStr">
        <is>
          <t>New Code</t>
        </is>
      </c>
      <c r="F12" s="27" t="inlineStr">
        <is>
          <t>Branch Name</t>
        </is>
      </c>
    </row>
    <row r="13">
      <c r="A13" s="7">
        <f>'1.11 Data'!A6</f>
        <v/>
      </c>
      <c r="B13" s="7">
        <f>'1.11 Data'!B6</f>
        <v/>
      </c>
      <c r="C13" s="28" t="n"/>
      <c r="D13" s="28" t="n"/>
      <c r="E13" s="28" t="n"/>
      <c r="F13" s="28" t="n"/>
    </row>
    <row r="14">
      <c r="A14" s="15">
        <f>'1.11 Data'!A7</f>
        <v/>
      </c>
      <c r="B14" s="15">
        <f>'1.11 Data'!B7</f>
        <v/>
      </c>
      <c r="C14" s="28" t="n"/>
      <c r="D14" s="28" t="n"/>
      <c r="E14" s="28" t="n"/>
      <c r="F14" s="28" t="n"/>
    </row>
    <row r="15">
      <c r="A15" s="7">
        <f>'1.11 Data'!A8</f>
        <v/>
      </c>
      <c r="B15" s="7">
        <f>'1.11 Data'!B8</f>
        <v/>
      </c>
      <c r="C15" s="28" t="n"/>
      <c r="D15" s="28" t="n"/>
      <c r="E15" s="28" t="n"/>
      <c r="F15" s="28" t="n"/>
    </row>
    <row r="16">
      <c r="A16" s="15">
        <f>'1.11 Data'!A9</f>
        <v/>
      </c>
      <c r="B16" s="15">
        <f>'1.11 Data'!B9</f>
        <v/>
      </c>
      <c r="C16" s="28" t="n"/>
      <c r="D16" s="28" t="n"/>
      <c r="E16" s="28" t="n"/>
      <c r="F16" s="28" t="n"/>
    </row>
    <row r="17">
      <c r="A17" s="7">
        <f>'1.11 Data'!A10</f>
        <v/>
      </c>
      <c r="B17" s="7">
        <f>'1.11 Data'!B10</f>
        <v/>
      </c>
      <c r="C17" s="28" t="n"/>
      <c r="D17" s="28" t="n"/>
      <c r="E17" s="28" t="n"/>
      <c r="F17" s="28" t="n"/>
    </row>
    <row r="18">
      <c r="A18" s="15">
        <f>'1.11 Data'!A11</f>
        <v/>
      </c>
      <c r="B18" s="15">
        <f>'1.11 Data'!B11</f>
        <v/>
      </c>
      <c r="C18" s="28" t="n"/>
      <c r="D18" s="28" t="n"/>
      <c r="E18" s="28" t="n"/>
      <c r="F18" s="28" t="n"/>
    </row>
    <row r="19">
      <c r="A19" s="7">
        <f>'1.11 Data'!A12</f>
        <v/>
      </c>
      <c r="B19" s="7">
        <f>'1.11 Data'!B12</f>
        <v/>
      </c>
      <c r="C19" s="28" t="n"/>
      <c r="D19" s="28" t="n"/>
      <c r="E19" s="28" t="n"/>
      <c r="F19" s="28" t="n"/>
    </row>
    <row r="20">
      <c r="A20" s="15">
        <f>'1.11 Data'!A13</f>
        <v/>
      </c>
      <c r="B20" s="15">
        <f>'1.11 Data'!B13</f>
        <v/>
      </c>
      <c r="C20" s="28" t="n"/>
      <c r="D20" s="28" t="n"/>
      <c r="E20" s="28" t="n"/>
      <c r="F20" s="28" t="n"/>
    </row>
    <row r="21">
      <c r="A21" s="29" t="inlineStr">
        <is>
          <t>TOTAL / RESULT</t>
        </is>
      </c>
      <c r="B21" s="30" t="n"/>
      <c r="C21" s="31" t="n"/>
      <c r="D21" s="31" t="n"/>
      <c r="E21" s="31" t="n"/>
      <c r="F21" s="31" t="n"/>
    </row>
    <row r="23" ht="32" customHeight="1">
      <c r="A23"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5" ht="19" customHeight="1">
      <c r="A25" s="33" t="inlineStr">
        <is>
          <t>FURTHER REQUESTS ON THIS DATASET</t>
        </is>
      </c>
    </row>
    <row r="26" ht="20" customHeight="1">
      <c r="A26" s="34" t="inlineStr">
        <is>
          <t>#</t>
        </is>
      </c>
      <c r="B26" s="34" t="inlineStr">
        <is>
          <t>Request</t>
        </is>
      </c>
      <c r="C26" s="34" t="inlineStr">
        <is>
          <t>Requested by</t>
        </is>
      </c>
      <c r="D26" s="34" t="inlineStr">
        <is>
          <t>Report / figure required</t>
        </is>
      </c>
      <c r="E26" s="34" t="inlineStr">
        <is>
          <t>Your formula or answer</t>
        </is>
      </c>
    </row>
    <row r="27" ht="78" customHeight="1">
      <c r="A27" s="35" t="n">
        <v>1</v>
      </c>
      <c r="B27" s="36" t="inlineStr">
        <is>
          <t>Masked Client Register for the external surveyor</t>
        </is>
      </c>
      <c r="C27" s="37" t="inlineStr">
        <is>
          <t>Head of Compliance</t>
        </is>
      </c>
      <c r="D27" s="38" t="inlineStr">
        <is>
          <t>A masked register: Line | Policy No | Client Name | CNIC masked to show only the final digit | Mobile masked to show only the network prefix | Premium. Nothing typed by hand — every mask produced by formula.</t>
        </is>
      </c>
      <c r="E27" s="39" t="n"/>
    </row>
    <row r="28" ht="65" customHeight="1">
      <c r="A28" s="35" t="n">
        <v>2</v>
      </c>
      <c r="B28" s="36" t="inlineStr">
        <is>
          <t>Product line re-designation for the SECP return</t>
        </is>
      </c>
      <c r="C28" s="37" t="inlineStr">
        <is>
          <t>Head of Regulatory Reporting</t>
        </is>
      </c>
      <c r="D28" s="38" t="inlineStr">
        <is>
          <t>A return extract: Original Policy No | Return Policy No (characters 5-7 replaced with GEN) | Product | Premium. The original column must remain visible for reconciliation.</t>
        </is>
      </c>
      <c r="E28" s="39" t="n"/>
    </row>
    <row r="29" ht="52" customHeight="1">
      <c r="A29" s="35" t="n">
        <v>3</v>
      </c>
      <c r="B29" s="36" t="inlineStr">
        <is>
          <t>Method selection note for the migration runbook</t>
        </is>
      </c>
      <c r="C29" s="37" t="inlineStr">
        <is>
          <t>Head of MIS</t>
        </is>
      </c>
      <c r="D29" s="38" t="inlineStr">
        <is>
          <t>A two-line entry for the runbook: when to use SUBSTITUTE and when to use REPLACE, with one Adamjee example of each from the work you just did.</t>
        </is>
      </c>
      <c r="E29" s="39" t="n"/>
    </row>
  </sheetData>
  <mergeCells count="6">
    <mergeCell ref="A2:L2"/>
    <mergeCell ref="A11:F11"/>
    <mergeCell ref="A7:K7"/>
    <mergeCell ref="A1:L1"/>
    <mergeCell ref="A23:F23"/>
    <mergeCell ref="A25:F25"/>
  </mergeCells>
  <hyperlinks>
    <hyperlink xmlns:r="http://schemas.openxmlformats.org/officeDocument/2006/relationships" ref="A9" r:id="rId1"/>
  </hyperlinks>
  <pageMargins left="0.75" right="0.75" top="1" bottom="1" header="0.5" footer="0.5"/>
</worksheet>
</file>

<file path=xl/worksheets/sheet24.xml><?xml version="1.0" encoding="utf-8"?>
<worksheet xmlns="http://schemas.openxmlformats.org/spreadsheetml/2006/main">
  <sheetPr>
    <tabColor rgb="001F3864"/>
    <outlinePr summaryBelow="1" summaryRight="1"/>
    <pageSetUpPr/>
  </sheetPr>
  <dimension ref="A1:J15"/>
  <sheetViews>
    <sheetView showGridLines="0" workbookViewId="0">
      <pane ySplit="5" topLeftCell="A6" activePane="bottomLeft" state="frozen"/>
      <selection pane="bottomLeft" activeCell="A1" sqref="A1"/>
    </sheetView>
  </sheetViews>
  <sheetFormatPr baseColWidth="8" defaultRowHeight="15"/>
  <cols>
    <col width="16" customWidth="1" min="1" max="1"/>
    <col width="8" customWidth="1" min="2" max="2"/>
    <col width="28" customWidth="1" min="3" max="3"/>
    <col width="32" customWidth="1" min="4" max="4"/>
    <col width="12" customWidth="1" min="5" max="5"/>
    <col width="13" customWidth="1" min="6" max="6"/>
    <col width="12" customWidth="1" min="7" max="7"/>
    <col width="13" customWidth="1" min="8" max="8"/>
    <col width="14" customWidth="1" min="9" max="9"/>
    <col width="20" customWidth="1" min="10" max="10"/>
  </cols>
  <sheetData>
    <row r="1" ht="26" customHeight="1">
      <c r="A1" s="1" t="inlineStr">
        <is>
          <t>Dataset 1.12  —  CONCATENATE and the Ampersand (&amp;) Operator</t>
        </is>
      </c>
    </row>
    <row r="2" ht="16" customHeight="1">
      <c r="A2" s="2" t="inlineStr">
        <is>
          <t>Session 1: Advanced Lookup, Text &amp; Date Functions | Part B: Advanced Text Functions   |   Adamjee Assurance Company Limited (Pakistan) — training data, figures in PKR</t>
        </is>
      </c>
    </row>
    <row r="4">
      <c r="A4" s="9" t="inlineStr">
        <is>
          <t>Table A — Renewal campaign base data</t>
        </is>
      </c>
    </row>
    <row r="5" ht="30" customHeight="1">
      <c r="A5" s="10" t="inlineStr">
        <is>
          <t>Client Code</t>
        </is>
      </c>
      <c r="B5" s="10" t="inlineStr">
        <is>
          <t>Title</t>
        </is>
      </c>
      <c r="C5" s="10" t="inlineStr">
        <is>
          <t>Client Name</t>
        </is>
      </c>
      <c r="D5" s="10" t="inlineStr">
        <is>
          <t>Address Line</t>
        </is>
      </c>
      <c r="E5" s="10" t="inlineStr">
        <is>
          <t>City</t>
        </is>
      </c>
      <c r="F5" s="10" t="inlineStr">
        <is>
          <t>Product Code</t>
        </is>
      </c>
      <c r="G5" s="10" t="inlineStr">
        <is>
          <t>Branch Code</t>
        </is>
      </c>
      <c r="H5" s="10" t="inlineStr">
        <is>
          <t>Policy Serial</t>
        </is>
      </c>
      <c r="I5" s="10" t="inlineStr">
        <is>
          <t>Renewal Date</t>
        </is>
      </c>
      <c r="J5" s="10" t="inlineStr">
        <is>
          <t>Renewal Premium (PKR)</t>
        </is>
      </c>
    </row>
    <row r="6">
      <c r="A6" s="7" t="inlineStr">
        <is>
          <t>KHI-CORP-0100</t>
        </is>
      </c>
      <c r="B6" s="7" t="inlineStr">
        <is>
          <t>M/s</t>
        </is>
      </c>
      <c r="C6" s="7" t="inlineStr">
        <is>
          <t>Gul Ahmed Textile Mills Ltd</t>
        </is>
      </c>
      <c r="D6" s="7" t="inlineStr">
        <is>
          <t>Plot 82, Korangi Industrial Area</t>
        </is>
      </c>
      <c r="E6" s="7" t="inlineStr">
        <is>
          <t>Karachi</t>
        </is>
      </c>
      <c r="F6" s="7" t="inlineStr">
        <is>
          <t>MTR</t>
        </is>
      </c>
      <c r="G6" s="7" t="inlineStr">
        <is>
          <t>KHI</t>
        </is>
      </c>
      <c r="H6" s="43" t="n">
        <v>1044</v>
      </c>
      <c r="I6" s="40" t="n">
        <v>45672</v>
      </c>
      <c r="J6" s="11" t="n">
        <v>1085000</v>
      </c>
    </row>
    <row r="7">
      <c r="A7" s="15" t="inlineStr">
        <is>
          <t>LHR-CORP-0111</t>
        </is>
      </c>
      <c r="B7" s="15" t="inlineStr">
        <is>
          <t>M/s</t>
        </is>
      </c>
      <c r="C7" s="15" t="inlineStr">
        <is>
          <t>Nishat Mills Limited</t>
        </is>
      </c>
      <c r="D7" s="15" t="inlineStr">
        <is>
          <t>7-Main Gulberg</t>
        </is>
      </c>
      <c r="E7" s="15" t="inlineStr">
        <is>
          <t>Lahore</t>
        </is>
      </c>
      <c r="F7" s="15" t="inlineStr">
        <is>
          <t>FIR</t>
        </is>
      </c>
      <c r="G7" s="15" t="inlineStr">
        <is>
          <t>LHR</t>
        </is>
      </c>
      <c r="H7" s="42" t="n">
        <v>1088</v>
      </c>
      <c r="I7" s="41" t="n">
        <v>45689</v>
      </c>
      <c r="J7" s="14" t="n">
        <v>1330000</v>
      </c>
    </row>
    <row r="8">
      <c r="A8" s="7" t="inlineStr">
        <is>
          <t>KHI-CORP-0102</t>
        </is>
      </c>
      <c r="B8" s="7" t="inlineStr">
        <is>
          <t>M/s</t>
        </is>
      </c>
      <c r="C8" s="7" t="inlineStr">
        <is>
          <t>Lucky Cement Limited</t>
        </is>
      </c>
      <c r="D8" s="7" t="inlineStr">
        <is>
          <t>Main Shahrah-e-Faisal</t>
        </is>
      </c>
      <c r="E8" s="7" t="inlineStr">
        <is>
          <t>Karachi</t>
        </is>
      </c>
      <c r="F8" s="7" t="inlineStr">
        <is>
          <t>MAR</t>
        </is>
      </c>
      <c r="G8" s="7" t="inlineStr">
        <is>
          <t>KHI</t>
        </is>
      </c>
      <c r="H8" s="43" t="n">
        <v>1120</v>
      </c>
      <c r="I8" s="40" t="n">
        <v>45706</v>
      </c>
      <c r="J8" s="11" t="n">
        <v>1805000</v>
      </c>
    </row>
    <row r="9">
      <c r="A9" s="15" t="inlineStr">
        <is>
          <t>ISB-INDV-0125</t>
        </is>
      </c>
      <c r="B9" s="15" t="inlineStr">
        <is>
          <t>Mr.</t>
        </is>
      </c>
      <c r="C9" s="15" t="inlineStr">
        <is>
          <t>Bilal Ahmed Khan</t>
        </is>
      </c>
      <c r="D9" s="15" t="inlineStr">
        <is>
          <t>House 44, Street 6, F-8/3</t>
        </is>
      </c>
      <c r="E9" s="15" t="inlineStr">
        <is>
          <t>Islamabad</t>
        </is>
      </c>
      <c r="F9" s="15" t="inlineStr">
        <is>
          <t>HLT</t>
        </is>
      </c>
      <c r="G9" s="15" t="inlineStr">
        <is>
          <t>ISB</t>
        </is>
      </c>
      <c r="H9" s="42" t="n">
        <v>1156</v>
      </c>
      <c r="I9" s="41" t="n">
        <v>45720</v>
      </c>
      <c r="J9" s="14" t="n">
        <v>225000</v>
      </c>
    </row>
    <row r="10">
      <c r="A10" s="7" t="inlineStr">
        <is>
          <t>FSD-CORP-0118</t>
        </is>
      </c>
      <c r="B10" s="7" t="inlineStr">
        <is>
          <t>M/s</t>
        </is>
      </c>
      <c r="C10" s="7" t="inlineStr">
        <is>
          <t>Interloop Limited</t>
        </is>
      </c>
      <c r="D10" s="7" t="inlineStr">
        <is>
          <t>Khurrianwala-Jaranwala Road</t>
        </is>
      </c>
      <c r="E10" s="7" t="inlineStr">
        <is>
          <t>Faisalabad</t>
        </is>
      </c>
      <c r="F10" s="7" t="inlineStr">
        <is>
          <t>ENG</t>
        </is>
      </c>
      <c r="G10" s="7" t="inlineStr">
        <is>
          <t>FSD</t>
        </is>
      </c>
      <c r="H10" s="43" t="n">
        <v>1190</v>
      </c>
      <c r="I10" s="40" t="n">
        <v>45737</v>
      </c>
      <c r="J10" s="11" t="n">
        <v>792000</v>
      </c>
    </row>
    <row r="11">
      <c r="A11" s="15" t="inlineStr">
        <is>
          <t>LHR-INDV-0113</t>
        </is>
      </c>
      <c r="B11" s="15" t="inlineStr">
        <is>
          <t>Ms.</t>
        </is>
      </c>
      <c r="C11" s="15" t="inlineStr">
        <is>
          <t>Fatima Siddiqui</t>
        </is>
      </c>
      <c r="D11" s="15" t="inlineStr">
        <is>
          <t>12-C Model Town Link Road</t>
        </is>
      </c>
      <c r="E11" s="15" t="inlineStr">
        <is>
          <t>Lahore</t>
        </is>
      </c>
      <c r="F11" s="15" t="inlineStr">
        <is>
          <t>MTR</t>
        </is>
      </c>
      <c r="G11" s="15" t="inlineStr">
        <is>
          <t>LHR</t>
        </is>
      </c>
      <c r="H11" s="42" t="n">
        <v>1215</v>
      </c>
      <c r="I11" s="41" t="n">
        <v>45756</v>
      </c>
      <c r="J11" s="14" t="n">
        <v>51400</v>
      </c>
    </row>
    <row r="12">
      <c r="A12" s="7" t="inlineStr">
        <is>
          <t>KHI-INDV-0107</t>
        </is>
      </c>
      <c r="B12" s="7" t="inlineStr">
        <is>
          <t>Mr.</t>
        </is>
      </c>
      <c r="C12" s="7" t="inlineStr">
        <is>
          <t>Ahmed Raza Qureshi</t>
        </is>
      </c>
      <c r="D12" s="7" t="inlineStr">
        <is>
          <t>Flat 301, Block 6 PECHS</t>
        </is>
      </c>
      <c r="E12" s="7" t="inlineStr">
        <is>
          <t>Karachi</t>
        </is>
      </c>
      <c r="F12" s="7" t="inlineStr">
        <is>
          <t>TRV</t>
        </is>
      </c>
      <c r="G12" s="7" t="inlineStr">
        <is>
          <t>KHI</t>
        </is>
      </c>
      <c r="H12" s="43" t="n">
        <v>1240</v>
      </c>
      <c r="I12" s="40" t="n">
        <v>45774</v>
      </c>
      <c r="J12" s="11" t="n">
        <v>162000</v>
      </c>
    </row>
    <row r="13">
      <c r="A13" s="15" t="inlineStr">
        <is>
          <t>PEW-CORP-0133</t>
        </is>
      </c>
      <c r="B13" s="15" t="inlineStr">
        <is>
          <t>M/s</t>
        </is>
      </c>
      <c r="C13" s="15" t="inlineStr">
        <is>
          <t>Descon Engineering Ltd</t>
        </is>
      </c>
      <c r="D13" s="15" t="inlineStr">
        <is>
          <t>Industrial Estate, Hayatabad</t>
        </is>
      </c>
      <c r="E13" s="15" t="inlineStr">
        <is>
          <t>Peshawar</t>
        </is>
      </c>
      <c r="F13" s="15" t="inlineStr">
        <is>
          <t>MSC</t>
        </is>
      </c>
      <c r="G13" s="15" t="inlineStr">
        <is>
          <t>PEW</t>
        </is>
      </c>
      <c r="H13" s="42" t="n">
        <v>1277</v>
      </c>
      <c r="I13" s="41" t="n">
        <v>45789</v>
      </c>
      <c r="J13" s="14" t="n">
        <v>704000</v>
      </c>
    </row>
    <row r="15">
      <c r="A1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25.xml><?xml version="1.0" encoding="utf-8"?>
<worksheet xmlns="http://schemas.openxmlformats.org/spreadsheetml/2006/main">
  <sheetPr>
    <tabColor rgb="00C00000"/>
    <outlinePr summaryBelow="1" summaryRight="1"/>
    <pageSetUpPr/>
  </sheetPr>
  <dimension ref="A1:L29"/>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Renewal Campaign Reference Key file</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The renewal campaign file arrives from Marketing with the policy components in separate columns, but the call centre system will only accept a single formatted policy reference. Eight hundred references were typed manually last year and forty-one were rejected by the system.</t>
        </is>
      </c>
    </row>
    <row r="9">
      <c r="A9" s="25" t="inlineStr">
        <is>
          <t>Source data: '1.12 Data'  (click to open)</t>
        </is>
      </c>
    </row>
    <row r="11" ht="16" customHeight="1">
      <c r="A11" s="26" t="inlineStr">
        <is>
          <t>Navy headers below = data linked live from the dataset sheet.   Gold headers = blank — build your formula here.</t>
        </is>
      </c>
    </row>
    <row r="12" ht="30" customHeight="1">
      <c r="A12" s="10" t="inlineStr">
        <is>
          <t>Client Code</t>
        </is>
      </c>
      <c r="B12" s="27" t="inlineStr">
        <is>
          <t>Full Policy Reference in the format ADM-MTR-KHI-2025-1044</t>
        </is>
      </c>
      <c r="C12" s="10" t="inlineStr">
        <is>
          <t>Renewal Date</t>
        </is>
      </c>
      <c r="D12" s="10" t="inlineStr">
        <is>
          <t>Renewal Premium</t>
        </is>
      </c>
    </row>
    <row r="13">
      <c r="A13" s="7">
        <f>'1.12 Data'!A6</f>
        <v/>
      </c>
      <c r="B13" s="28" t="n"/>
      <c r="C13" s="40">
        <f>'1.12 Data'!I6</f>
        <v/>
      </c>
      <c r="D13" s="11">
        <f>'1.12 Data'!J6</f>
        <v/>
      </c>
    </row>
    <row r="14">
      <c r="A14" s="15">
        <f>'1.12 Data'!A7</f>
        <v/>
      </c>
      <c r="B14" s="28" t="n"/>
      <c r="C14" s="41">
        <f>'1.12 Data'!I7</f>
        <v/>
      </c>
      <c r="D14" s="14">
        <f>'1.12 Data'!J7</f>
        <v/>
      </c>
    </row>
    <row r="15">
      <c r="A15" s="7">
        <f>'1.12 Data'!A8</f>
        <v/>
      </c>
      <c r="B15" s="28" t="n"/>
      <c r="C15" s="40">
        <f>'1.12 Data'!I8</f>
        <v/>
      </c>
      <c r="D15" s="11">
        <f>'1.12 Data'!J8</f>
        <v/>
      </c>
    </row>
    <row r="16">
      <c r="A16" s="15">
        <f>'1.12 Data'!A9</f>
        <v/>
      </c>
      <c r="B16" s="28" t="n"/>
      <c r="C16" s="41">
        <f>'1.12 Data'!I9</f>
        <v/>
      </c>
      <c r="D16" s="14">
        <f>'1.12 Data'!J9</f>
        <v/>
      </c>
    </row>
    <row r="17">
      <c r="A17" s="7">
        <f>'1.12 Data'!A10</f>
        <v/>
      </c>
      <c r="B17" s="28" t="n"/>
      <c r="C17" s="40">
        <f>'1.12 Data'!I10</f>
        <v/>
      </c>
      <c r="D17" s="11">
        <f>'1.12 Data'!J10</f>
        <v/>
      </c>
    </row>
    <row r="18">
      <c r="A18" s="15">
        <f>'1.12 Data'!A11</f>
        <v/>
      </c>
      <c r="B18" s="28" t="n"/>
      <c r="C18" s="41">
        <f>'1.12 Data'!I11</f>
        <v/>
      </c>
      <c r="D18" s="14">
        <f>'1.12 Data'!J11</f>
        <v/>
      </c>
    </row>
    <row r="19">
      <c r="A19" s="7">
        <f>'1.12 Data'!A12</f>
        <v/>
      </c>
      <c r="B19" s="28" t="n"/>
      <c r="C19" s="40">
        <f>'1.12 Data'!I12</f>
        <v/>
      </c>
      <c r="D19" s="11">
        <f>'1.12 Data'!J12</f>
        <v/>
      </c>
    </row>
    <row r="20">
      <c r="A20" s="15">
        <f>'1.12 Data'!A13</f>
        <v/>
      </c>
      <c r="B20" s="28" t="n"/>
      <c r="C20" s="41">
        <f>'1.12 Data'!I13</f>
        <v/>
      </c>
      <c r="D20" s="14">
        <f>'1.12 Data'!J13</f>
        <v/>
      </c>
    </row>
    <row r="21">
      <c r="A21" s="29" t="inlineStr">
        <is>
          <t>TOTAL / RESULT</t>
        </is>
      </c>
      <c r="B21" s="31" t="n"/>
      <c r="C21" s="30" t="n"/>
      <c r="D21" s="30" t="n"/>
    </row>
    <row r="23" ht="32" customHeight="1">
      <c r="A23"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5" ht="19" customHeight="1">
      <c r="A25" s="33" t="inlineStr">
        <is>
          <t>FURTHER REQUESTS ON THIS DATASET</t>
        </is>
      </c>
    </row>
    <row r="26" ht="20" customHeight="1">
      <c r="A26" s="34" t="inlineStr">
        <is>
          <t>#</t>
        </is>
      </c>
      <c r="B26" s="34" t="inlineStr">
        <is>
          <t>Request</t>
        </is>
      </c>
      <c r="C26" s="34" t="inlineStr">
        <is>
          <t>Requested by</t>
        </is>
      </c>
      <c r="D26" s="34" t="inlineStr">
        <is>
          <t>Report / figure required</t>
        </is>
      </c>
      <c r="E26" s="34" t="inlineStr">
        <is>
          <t>Your formula or answer</t>
        </is>
      </c>
    </row>
    <row r="27" ht="65" customHeight="1">
      <c r="A27" s="35" t="n">
        <v>1</v>
      </c>
      <c r="B27" s="36" t="inlineStr">
        <is>
          <t>Printed Mailing Labels for the renewal mailshot</t>
        </is>
      </c>
      <c r="C27" s="37" t="inlineStr">
        <is>
          <t>Marketing Manager</t>
        </is>
      </c>
      <c r="D27" s="38" t="inlineStr">
        <is>
          <t>A label column producing: line one 'M/s Gul Ahmed Textile Mills Ltd', line two 'Plot 82, Korangi Industrial Area, Karachi'. Wrap Text switched on so the two lines are visible in the cell.</t>
        </is>
      </c>
      <c r="E27" s="39" t="n"/>
    </row>
    <row r="28" ht="78" customHeight="1">
      <c r="A28" s="35" t="n">
        <v>2</v>
      </c>
      <c r="B28" s="36" t="inlineStr">
        <is>
          <t>Renewal SMS Text file for the bulk gateway</t>
        </is>
      </c>
      <c r="C28" s="37" t="inlineStr">
        <is>
          <t>Marketing Manager</t>
        </is>
      </c>
      <c r="D28" s="38" t="inlineStr">
        <is>
          <t>An SMS column reading: 'Dear &lt;Name&gt;, your Adamjee policy &lt;PolicyNo&gt; renews on 15-Jan-2025. Premium PKR 1,085,000.' — date as dd-mmm-yyyy, amount comma-formatted. One formula copied down all eight rows.</t>
        </is>
      </c>
      <c r="E28" s="39" t="n"/>
    </row>
    <row r="29" ht="65" customHeight="1">
      <c r="A29" s="35" t="n">
        <v>3</v>
      </c>
      <c r="B29" s="36" t="inlineStr">
        <is>
          <t>Defect demonstration for the Marketing sign-off</t>
        </is>
      </c>
      <c r="C29" s="37" t="inlineStr">
        <is>
          <t>Marketing Manager</t>
        </is>
      </c>
      <c r="D29" s="38" t="inlineStr">
        <is>
          <t>A side-by-side demonstration: one SMS line built without TEXT around the date and amount, one built with it, and a one-line explanation of what Excel is actually storing behind a date.</t>
        </is>
      </c>
      <c r="E29" s="39" t="n"/>
    </row>
  </sheetData>
  <mergeCells count="6">
    <mergeCell ref="A2:L2"/>
    <mergeCell ref="A23:D23"/>
    <mergeCell ref="A7:K7"/>
    <mergeCell ref="A1:L1"/>
    <mergeCell ref="A11:D11"/>
    <mergeCell ref="A25:F25"/>
  </mergeCells>
  <hyperlinks>
    <hyperlink xmlns:r="http://schemas.openxmlformats.org/officeDocument/2006/relationships" ref="A9" r:id="rId1"/>
  </hyperlinks>
  <pageMargins left="0.75" right="0.75" top="1" bottom="1" header="0.5" footer="0.5"/>
</worksheet>
</file>

<file path=xl/worksheets/sheet26.xml><?xml version="1.0" encoding="utf-8"?>
<worksheet xmlns="http://schemas.openxmlformats.org/spreadsheetml/2006/main">
  <sheetPr>
    <tabColor rgb="001F3864"/>
    <outlinePr summaryBelow="1" summaryRight="1"/>
    <pageSetUpPr/>
  </sheetPr>
  <dimension ref="A1:F17"/>
  <sheetViews>
    <sheetView showGridLines="0" workbookViewId="0">
      <pane ySplit="5" topLeftCell="A6" activePane="bottomLeft" state="frozen"/>
      <selection pane="bottomLeft" activeCell="A1" sqref="A1"/>
    </sheetView>
  </sheetViews>
  <sheetFormatPr baseColWidth="8" defaultRowHeight="15"/>
  <cols>
    <col width="8" customWidth="1" min="1" max="1"/>
    <col width="24" customWidth="1" min="2" max="2"/>
    <col width="18" customWidth="1" min="3" max="3"/>
    <col width="62" customWidth="1" min="4" max="4"/>
    <col width="20" customWidth="1" min="5" max="5"/>
  </cols>
  <sheetData>
    <row r="1" ht="26" customHeight="1">
      <c r="A1" s="1" t="inlineStr">
        <is>
          <t>Dataset 1.13  —  Extracting Data from Policy Numbers and Client Codes Using Text Formulas</t>
        </is>
      </c>
    </row>
    <row r="2" ht="16" customHeight="1">
      <c r="A2" s="2" t="inlineStr">
        <is>
          <t>Session 1: Advanced Lookup, Text &amp; Date Functions | Part B: Advanced Text Functions   |   Adamjee Assurance Company Limited (Pakistan) — training data, figures in PKR</t>
        </is>
      </c>
    </row>
    <row r="4">
      <c r="A4" s="9" t="inlineStr">
        <is>
          <t>Table A — Flat file received from the legacy policy administration system</t>
        </is>
      </c>
    </row>
    <row r="5" ht="30" customHeight="1">
      <c r="A5" s="10" t="inlineStr">
        <is>
          <t>Line</t>
        </is>
      </c>
      <c r="B5" s="10" t="inlineStr">
        <is>
          <t>Policy No</t>
        </is>
      </c>
      <c r="C5" s="10" t="inlineStr">
        <is>
          <t>Client Code</t>
        </is>
      </c>
      <c r="D5" s="10" t="inlineStr">
        <is>
          <t>Combined Description</t>
        </is>
      </c>
      <c r="E5" s="10" t="inlineStr">
        <is>
          <t>Gross Premium (PKR)</t>
        </is>
      </c>
    </row>
    <row r="6">
      <c r="A6" s="43" t="n">
        <v>1</v>
      </c>
      <c r="B6" s="7" t="inlineStr">
        <is>
          <t>ADM-MTR-KHI-2024-1001</t>
        </is>
      </c>
      <c r="C6" s="7" t="inlineStr">
        <is>
          <t>KHI-CORP-0100</t>
        </is>
      </c>
      <c r="D6" s="7" t="inlineStr">
        <is>
          <t>Gul Ahmed Textile Mills Ltd/Motor Fleet/Karachi/Active</t>
        </is>
      </c>
      <c r="E6" s="11" t="n">
        <v>985000</v>
      </c>
    </row>
    <row r="7">
      <c r="A7" s="42" t="n">
        <v>2</v>
      </c>
      <c r="B7" s="15" t="inlineStr">
        <is>
          <t>ADM-FIR-LHR-2024-1002</t>
        </is>
      </c>
      <c r="C7" s="15" t="inlineStr">
        <is>
          <t>LHR-CORP-0111</t>
        </is>
      </c>
      <c r="D7" s="15" t="inlineStr">
        <is>
          <t>Nishat Mills Limited/Fire and Property/Lahore/Active</t>
        </is>
      </c>
      <c r="E7" s="14" t="n">
        <v>1210000</v>
      </c>
    </row>
    <row r="8">
      <c r="A8" s="43" t="n">
        <v>3</v>
      </c>
      <c r="B8" s="7" t="inlineStr">
        <is>
          <t>ADM-MAR-KHI-2024-1003</t>
        </is>
      </c>
      <c r="C8" s="7" t="inlineStr">
        <is>
          <t>KHI-CORP-0102</t>
        </is>
      </c>
      <c r="D8" s="7" t="inlineStr">
        <is>
          <t>Lucky Cement Limited/Marine Cargo/Karachi/Renewed</t>
        </is>
      </c>
      <c r="E8" s="11" t="n">
        <v>1640000</v>
      </c>
    </row>
    <row r="9">
      <c r="A9" s="42" t="n">
        <v>4</v>
      </c>
      <c r="B9" s="15" t="inlineStr">
        <is>
          <t>ADM-HLT-ISB-2024-1004</t>
        </is>
      </c>
      <c r="C9" s="15" t="inlineStr">
        <is>
          <t>ISB-INDV-0125</t>
        </is>
      </c>
      <c r="D9" s="15" t="inlineStr">
        <is>
          <t>Bilal Ahmed Khan/Health Individual/Islamabad/Active</t>
        </is>
      </c>
      <c r="E9" s="14" t="n">
        <v>205000</v>
      </c>
    </row>
    <row r="10">
      <c r="A10" s="43" t="n">
        <v>5</v>
      </c>
      <c r="B10" s="7" t="inlineStr">
        <is>
          <t>ADM-ENG-FSD-2024-1005</t>
        </is>
      </c>
      <c r="C10" s="7" t="inlineStr">
        <is>
          <t>FSD-CORP-0118</t>
        </is>
      </c>
      <c r="D10" s="7" t="inlineStr">
        <is>
          <t>Interloop Limited/Engineering CAR/Faisalabad/Lapsed</t>
        </is>
      </c>
      <c r="E10" s="11" t="n">
        <v>720000</v>
      </c>
    </row>
    <row r="11">
      <c r="A11" s="42" t="n">
        <v>6</v>
      </c>
      <c r="B11" s="15" t="inlineStr">
        <is>
          <t>ADM-MTR-LHR-2024-1006</t>
        </is>
      </c>
      <c r="C11" s="15" t="inlineStr">
        <is>
          <t>LHR-INDV-0113</t>
        </is>
      </c>
      <c r="D11" s="15" t="inlineStr">
        <is>
          <t>Fatima Siddiqui/Motor Private/Lahore/Active</t>
        </is>
      </c>
      <c r="E11" s="14" t="n">
        <v>46800</v>
      </c>
    </row>
    <row r="12">
      <c r="A12" s="43" t="n">
        <v>7</v>
      </c>
      <c r="B12" s="7" t="inlineStr">
        <is>
          <t>ADM-TRV-KHI-2024-1007</t>
        </is>
      </c>
      <c r="C12" s="7" t="inlineStr">
        <is>
          <t>KHI-INDV-0107</t>
        </is>
      </c>
      <c r="D12" s="7" t="inlineStr">
        <is>
          <t>Ahmed Raza Qureshi/Travel Schengen/Karachi/Expired</t>
        </is>
      </c>
      <c r="E12" s="11" t="n">
        <v>148000</v>
      </c>
    </row>
    <row r="13">
      <c r="A13" s="42" t="n">
        <v>8</v>
      </c>
      <c r="B13" s="15" t="inlineStr">
        <is>
          <t>ADM-MSC-PEW-2024-1008</t>
        </is>
      </c>
      <c r="C13" s="15" t="inlineStr">
        <is>
          <t>PEW-CORP-0133</t>
        </is>
      </c>
      <c r="D13" s="15" t="inlineStr">
        <is>
          <t>Descon Engineering Ltd/Workmen Compensation/Peshawar/Active</t>
        </is>
      </c>
      <c r="E13" s="14" t="n">
        <v>640000</v>
      </c>
    </row>
    <row r="14">
      <c r="A14" s="43" t="n">
        <v>9</v>
      </c>
      <c r="B14" s="7" t="inlineStr">
        <is>
          <t>ADM-FIR-MUL-2024-1009</t>
        </is>
      </c>
      <c r="C14" s="7" t="inlineStr">
        <is>
          <t>MUL-CORP-0140</t>
        </is>
      </c>
      <c r="D14" s="7" t="inlineStr">
        <is>
          <t>Fauji Fertilizer Company/Fire and Property/Multan/Active</t>
        </is>
      </c>
      <c r="E14" s="11" t="n">
        <v>2310000</v>
      </c>
    </row>
    <row r="15">
      <c r="A15" s="42" t="n">
        <v>10</v>
      </c>
      <c r="B15" s="15" t="inlineStr">
        <is>
          <t>ADM-MTR-HYD-2024-1010</t>
        </is>
      </c>
      <c r="C15" s="15" t="inlineStr">
        <is>
          <t>HYD-INDV-0145</t>
        </is>
      </c>
      <c r="D15" s="15" t="inlineStr">
        <is>
          <t>Sana Javed Butt/Motor Private/Hyderabad/Cancelled</t>
        </is>
      </c>
      <c r="E15" s="14" t="n">
        <v>38500</v>
      </c>
    </row>
    <row r="17">
      <c r="A17"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27.xml><?xml version="1.0" encoding="utf-8"?>
<worksheet xmlns="http://schemas.openxmlformats.org/spreadsheetml/2006/main">
  <sheetPr>
    <tabColor rgb="00C00000"/>
    <outlinePr summaryBelow="1" summaryRight="1"/>
    <pageSetUpPr/>
  </sheetPr>
  <dimension ref="A1:L31"/>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Actuarial Flat File — fully parsed</t>
        </is>
      </c>
    </row>
    <row r="3">
      <c r="A3" s="21" t="inlineStr">
        <is>
          <t>Prepared for:</t>
        </is>
      </c>
      <c r="B3" s="22" t="inlineStr">
        <is>
          <t>Actuarial Manager</t>
        </is>
      </c>
    </row>
    <row r="4">
      <c r="A4" s="21" t="inlineStr">
        <is>
          <t>Prepared by:</t>
        </is>
      </c>
      <c r="B4" s="23" t="n"/>
    </row>
    <row r="5">
      <c r="A5" s="21" t="inlineStr">
        <is>
          <t>Reporting date:</t>
        </is>
      </c>
      <c r="B5" s="22" t="inlineStr">
        <is>
          <t>As at reporting date shown on the dataset</t>
        </is>
      </c>
    </row>
    <row r="7" ht="44" customHeight="1">
      <c r="A7" s="24" t="inlineStr">
        <is>
          <t>The legacy policy administration system has been decommissioned and the final extract is a flat file with no structure: policy number, client code and a slash-separated description are all that survived. The actuarial reserving run cannot start until every field is parsed, and the year-end timetable has nine days of slack left.</t>
        </is>
      </c>
    </row>
    <row r="9">
      <c r="A9" s="25" t="inlineStr">
        <is>
          <t>Source data: '1.13 Data'  (click to open)</t>
        </is>
      </c>
    </row>
    <row r="11" ht="16" customHeight="1">
      <c r="A11" s="26" t="inlineStr">
        <is>
          <t>Navy headers below = data linked live from the dataset sheet.   Gold headers = blank — build your formula here.</t>
        </is>
      </c>
    </row>
    <row r="12" ht="30" customHeight="1">
      <c r="A12" s="10" t="inlineStr">
        <is>
          <t>Line</t>
        </is>
      </c>
      <c r="B12" s="10" t="inlineStr">
        <is>
          <t>Policy No</t>
        </is>
      </c>
      <c r="C12" s="27" t="inlineStr">
        <is>
          <t>Prefix</t>
        </is>
      </c>
      <c r="D12" s="27" t="inlineStr">
        <is>
          <t>Product Code</t>
        </is>
      </c>
      <c r="E12" s="27" t="inlineStr">
        <is>
          <t>Branch Code</t>
        </is>
      </c>
      <c r="F12" s="27" t="inlineStr">
        <is>
          <t>Year</t>
        </is>
      </c>
      <c r="G12" s="27" t="inlineStr">
        <is>
          <t>Serial</t>
        </is>
      </c>
      <c r="H12" s="10" t="inlineStr">
        <is>
          <t>Client Code</t>
        </is>
      </c>
      <c r="I12" s="27" t="inlineStr">
        <is>
          <t>Client Branch</t>
        </is>
      </c>
      <c r="J12" s="27" t="inlineStr">
        <is>
          <t>Client Type</t>
        </is>
      </c>
      <c r="K12" s="27" t="inlineStr">
        <is>
          <t>Client Sequence</t>
        </is>
      </c>
      <c r="L12" s="10" t="inlineStr">
        <is>
          <t>Gross Premium</t>
        </is>
      </c>
    </row>
    <row r="13">
      <c r="A13" s="7">
        <f>'1.13 Data'!A6</f>
        <v/>
      </c>
      <c r="B13" s="7">
        <f>'1.13 Data'!B6</f>
        <v/>
      </c>
      <c r="C13" s="28" t="n"/>
      <c r="D13" s="28" t="n"/>
      <c r="E13" s="28" t="n"/>
      <c r="F13" s="28" t="n"/>
      <c r="G13" s="28" t="n"/>
      <c r="H13" s="7">
        <f>'1.13 Data'!C6</f>
        <v/>
      </c>
      <c r="I13" s="28" t="n"/>
      <c r="J13" s="28" t="n"/>
      <c r="K13" s="28" t="n"/>
      <c r="L13" s="11">
        <f>'1.13 Data'!E6</f>
        <v/>
      </c>
    </row>
    <row r="14">
      <c r="A14" s="15">
        <f>'1.13 Data'!A7</f>
        <v/>
      </c>
      <c r="B14" s="15">
        <f>'1.13 Data'!B7</f>
        <v/>
      </c>
      <c r="C14" s="28" t="n"/>
      <c r="D14" s="28" t="n"/>
      <c r="E14" s="28" t="n"/>
      <c r="F14" s="28" t="n"/>
      <c r="G14" s="28" t="n"/>
      <c r="H14" s="15">
        <f>'1.13 Data'!C7</f>
        <v/>
      </c>
      <c r="I14" s="28" t="n"/>
      <c r="J14" s="28" t="n"/>
      <c r="K14" s="28" t="n"/>
      <c r="L14" s="14">
        <f>'1.13 Data'!E7</f>
        <v/>
      </c>
    </row>
    <row r="15">
      <c r="A15" s="7">
        <f>'1.13 Data'!A8</f>
        <v/>
      </c>
      <c r="B15" s="7">
        <f>'1.13 Data'!B8</f>
        <v/>
      </c>
      <c r="C15" s="28" t="n"/>
      <c r="D15" s="28" t="n"/>
      <c r="E15" s="28" t="n"/>
      <c r="F15" s="28" t="n"/>
      <c r="G15" s="28" t="n"/>
      <c r="H15" s="7">
        <f>'1.13 Data'!C8</f>
        <v/>
      </c>
      <c r="I15" s="28" t="n"/>
      <c r="J15" s="28" t="n"/>
      <c r="K15" s="28" t="n"/>
      <c r="L15" s="11">
        <f>'1.13 Data'!E8</f>
        <v/>
      </c>
    </row>
    <row r="16">
      <c r="A16" s="15">
        <f>'1.13 Data'!A9</f>
        <v/>
      </c>
      <c r="B16" s="15">
        <f>'1.13 Data'!B9</f>
        <v/>
      </c>
      <c r="C16" s="28" t="n"/>
      <c r="D16" s="28" t="n"/>
      <c r="E16" s="28" t="n"/>
      <c r="F16" s="28" t="n"/>
      <c r="G16" s="28" t="n"/>
      <c r="H16" s="15">
        <f>'1.13 Data'!C9</f>
        <v/>
      </c>
      <c r="I16" s="28" t="n"/>
      <c r="J16" s="28" t="n"/>
      <c r="K16" s="28" t="n"/>
      <c r="L16" s="14">
        <f>'1.13 Data'!E9</f>
        <v/>
      </c>
    </row>
    <row r="17">
      <c r="A17" s="7">
        <f>'1.13 Data'!A10</f>
        <v/>
      </c>
      <c r="B17" s="7">
        <f>'1.13 Data'!B10</f>
        <v/>
      </c>
      <c r="C17" s="28" t="n"/>
      <c r="D17" s="28" t="n"/>
      <c r="E17" s="28" t="n"/>
      <c r="F17" s="28" t="n"/>
      <c r="G17" s="28" t="n"/>
      <c r="H17" s="7">
        <f>'1.13 Data'!C10</f>
        <v/>
      </c>
      <c r="I17" s="28" t="n"/>
      <c r="J17" s="28" t="n"/>
      <c r="K17" s="28" t="n"/>
      <c r="L17" s="11">
        <f>'1.13 Data'!E10</f>
        <v/>
      </c>
    </row>
    <row r="18">
      <c r="A18" s="15">
        <f>'1.13 Data'!A11</f>
        <v/>
      </c>
      <c r="B18" s="15">
        <f>'1.13 Data'!B11</f>
        <v/>
      </c>
      <c r="C18" s="28" t="n"/>
      <c r="D18" s="28" t="n"/>
      <c r="E18" s="28" t="n"/>
      <c r="F18" s="28" t="n"/>
      <c r="G18" s="28" t="n"/>
      <c r="H18" s="15">
        <f>'1.13 Data'!C11</f>
        <v/>
      </c>
      <c r="I18" s="28" t="n"/>
      <c r="J18" s="28" t="n"/>
      <c r="K18" s="28" t="n"/>
      <c r="L18" s="14">
        <f>'1.13 Data'!E11</f>
        <v/>
      </c>
    </row>
    <row r="19">
      <c r="A19" s="7">
        <f>'1.13 Data'!A12</f>
        <v/>
      </c>
      <c r="B19" s="7">
        <f>'1.13 Data'!B12</f>
        <v/>
      </c>
      <c r="C19" s="28" t="n"/>
      <c r="D19" s="28" t="n"/>
      <c r="E19" s="28" t="n"/>
      <c r="F19" s="28" t="n"/>
      <c r="G19" s="28" t="n"/>
      <c r="H19" s="7">
        <f>'1.13 Data'!C12</f>
        <v/>
      </c>
      <c r="I19" s="28" t="n"/>
      <c r="J19" s="28" t="n"/>
      <c r="K19" s="28" t="n"/>
      <c r="L19" s="11">
        <f>'1.13 Data'!E12</f>
        <v/>
      </c>
    </row>
    <row r="20">
      <c r="A20" s="15">
        <f>'1.13 Data'!A13</f>
        <v/>
      </c>
      <c r="B20" s="15">
        <f>'1.13 Data'!B13</f>
        <v/>
      </c>
      <c r="C20" s="28" t="n"/>
      <c r="D20" s="28" t="n"/>
      <c r="E20" s="28" t="n"/>
      <c r="F20" s="28" t="n"/>
      <c r="G20" s="28" t="n"/>
      <c r="H20" s="15">
        <f>'1.13 Data'!C13</f>
        <v/>
      </c>
      <c r="I20" s="28" t="n"/>
      <c r="J20" s="28" t="n"/>
      <c r="K20" s="28" t="n"/>
      <c r="L20" s="14">
        <f>'1.13 Data'!E13</f>
        <v/>
      </c>
    </row>
    <row r="21">
      <c r="A21" s="7">
        <f>'1.13 Data'!A14</f>
        <v/>
      </c>
      <c r="B21" s="7">
        <f>'1.13 Data'!B14</f>
        <v/>
      </c>
      <c r="C21" s="28" t="n"/>
      <c r="D21" s="28" t="n"/>
      <c r="E21" s="28" t="n"/>
      <c r="F21" s="28" t="n"/>
      <c r="G21" s="28" t="n"/>
      <c r="H21" s="7">
        <f>'1.13 Data'!C14</f>
        <v/>
      </c>
      <c r="I21" s="28" t="n"/>
      <c r="J21" s="28" t="n"/>
      <c r="K21" s="28" t="n"/>
      <c r="L21" s="11">
        <f>'1.13 Data'!E14</f>
        <v/>
      </c>
    </row>
    <row r="22">
      <c r="A22" s="15">
        <f>'1.13 Data'!A15</f>
        <v/>
      </c>
      <c r="B22" s="15">
        <f>'1.13 Data'!B15</f>
        <v/>
      </c>
      <c r="C22" s="28" t="n"/>
      <c r="D22" s="28" t="n"/>
      <c r="E22" s="28" t="n"/>
      <c r="F22" s="28" t="n"/>
      <c r="G22" s="28" t="n"/>
      <c r="H22" s="15">
        <f>'1.13 Data'!C15</f>
        <v/>
      </c>
      <c r="I22" s="28" t="n"/>
      <c r="J22" s="28" t="n"/>
      <c r="K22" s="28" t="n"/>
      <c r="L22" s="14">
        <f>'1.13 Data'!E15</f>
        <v/>
      </c>
    </row>
    <row r="23">
      <c r="A23" s="29" t="inlineStr">
        <is>
          <t>TOTAL / RESULT</t>
        </is>
      </c>
      <c r="B23" s="30" t="n"/>
      <c r="C23" s="31" t="n"/>
      <c r="D23" s="31" t="n"/>
      <c r="E23" s="31" t="n"/>
      <c r="F23" s="31" t="n"/>
      <c r="G23" s="31" t="n"/>
      <c r="H23" s="30" t="n"/>
      <c r="I23" s="31" t="n"/>
      <c r="J23" s="31" t="n"/>
      <c r="K23" s="31" t="n"/>
      <c r="L23" s="30" t="n"/>
    </row>
    <row r="25" ht="32" customHeight="1">
      <c r="A25"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7" ht="19" customHeight="1">
      <c r="A27" s="33" t="inlineStr">
        <is>
          <t>FURTHER REQUESTS ON THIS DATASET</t>
        </is>
      </c>
    </row>
    <row r="28" ht="20" customHeight="1">
      <c r="A28" s="34" t="inlineStr">
        <is>
          <t>#</t>
        </is>
      </c>
      <c r="B28" s="34" t="inlineStr">
        <is>
          <t>Request</t>
        </is>
      </c>
      <c r="C28" s="34" t="inlineStr">
        <is>
          <t>Requested by</t>
        </is>
      </c>
      <c r="D28" s="34" t="inlineStr">
        <is>
          <t>Report / figure required</t>
        </is>
      </c>
      <c r="E28" s="34" t="inlineStr">
        <is>
          <t>Your formula or answer</t>
        </is>
      </c>
    </row>
    <row r="29" ht="65" customHeight="1">
      <c r="A29" s="35" t="n">
        <v>1</v>
      </c>
      <c r="B29" s="36" t="inlineStr">
        <is>
          <t>Description field broken into reporting dimensions</t>
        </is>
      </c>
      <c r="C29" s="37" t="inlineStr">
        <is>
          <t>Actuarial Manager</t>
        </is>
      </c>
      <c r="D29" s="38" t="inlineStr">
        <is>
          <t>Three further columns: Client Name (before the first slash) | Product Description (between the first and second) | Status (after the last slash). Ten rows, one formula per column.</t>
        </is>
      </c>
      <c r="E29" s="39" t="n"/>
    </row>
    <row r="30" ht="65" customHeight="1">
      <c r="A30" s="35" t="n">
        <v>2</v>
      </c>
      <c r="B30" s="36" t="inlineStr">
        <is>
          <t>Branch Code Integrity Exception Report</t>
        </is>
      </c>
      <c r="C30" s="37" t="inlineStr">
        <is>
          <t>Head of Internal Audit</t>
        </is>
      </c>
      <c r="D30" s="38" t="inlineStr">
        <is>
          <t>An exception report: Line | Branch Code from Policy No | Branch Code from Client Code | Status (OK / Mismatch) | Premium at risk. Total premium at risk shown at the top.</t>
        </is>
      </c>
      <c r="E30" s="39" t="n"/>
    </row>
    <row r="31" ht="65" customHeight="1">
      <c r="A31" s="35" t="n">
        <v>3</v>
      </c>
      <c r="B31" s="36" t="inlineStr">
        <is>
          <t>Standardised record for loading to the new system</t>
        </is>
      </c>
      <c r="C31" s="37" t="inlineStr">
        <is>
          <t>Head of MIS</t>
        </is>
      </c>
      <c r="D31" s="38" t="inlineStr">
        <is>
          <t>A load file column in the format ClientCode|ProductCode|Branch|Status, built from your parsed columns, plus a length check flagging any row that is not the expected length.</t>
        </is>
      </c>
      <c r="E31" s="39" t="n"/>
    </row>
  </sheetData>
  <mergeCells count="6">
    <mergeCell ref="A2:L2"/>
    <mergeCell ref="A25:L25"/>
    <mergeCell ref="A11:L11"/>
    <mergeCell ref="A7:K7"/>
    <mergeCell ref="A1:L1"/>
    <mergeCell ref="A27:F27"/>
  </mergeCells>
  <hyperlinks>
    <hyperlink xmlns:r="http://schemas.openxmlformats.org/officeDocument/2006/relationships" ref="A9" r:id="rId1"/>
  </hyperlinks>
  <pageMargins left="0.75" right="0.75" top="1" bottom="1" header="0.5" footer="0.5"/>
</worksheet>
</file>

<file path=xl/worksheets/sheet28.xml><?xml version="1.0" encoding="utf-8"?>
<worksheet xmlns="http://schemas.openxmlformats.org/spreadsheetml/2006/main">
  <sheetPr>
    <tabColor rgb="001F3864"/>
    <outlinePr summaryBelow="1" summaryRight="1"/>
    <pageSetUpPr/>
  </sheetPr>
  <dimension ref="A1:F22"/>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18" customWidth="1" min="3" max="3"/>
    <col width="16" customWidth="1" min="4" max="4"/>
    <col width="14" customWidth="1" min="5" max="5"/>
    <col width="20" customWidth="1" min="6" max="6"/>
  </cols>
  <sheetData>
    <row r="1" ht="26" customHeight="1">
      <c r="A1" s="1" t="inlineStr">
        <is>
          <t>Dataset 1.14  —  EDATE and EOMONTH</t>
        </is>
      </c>
    </row>
    <row r="2" ht="16" customHeight="1">
      <c r="A2" s="2" t="inlineStr">
        <is>
          <t>Session 1: Advanced Lookup, Text &amp; Date Functions | Part C: Advanced Date Functions   |   Adamjee Assurance Company Limited (Pakistan) — training data, figures in PKR</t>
        </is>
      </c>
    </row>
    <row r="4">
      <c r="A4" s="9" t="inlineStr">
        <is>
          <t>Table A — Policies written, with term in months</t>
        </is>
      </c>
    </row>
    <row r="5" ht="30" customHeight="1">
      <c r="A5" s="10" t="inlineStr">
        <is>
          <t>Policy No</t>
        </is>
      </c>
      <c r="B5" s="10" t="inlineStr">
        <is>
          <t>Client Name</t>
        </is>
      </c>
      <c r="C5" s="10" t="inlineStr">
        <is>
          <t>Product</t>
        </is>
      </c>
      <c r="D5" s="10" t="inlineStr">
        <is>
          <t>Inception Date</t>
        </is>
      </c>
      <c r="E5" s="10" t="inlineStr">
        <is>
          <t>Term (Months)</t>
        </is>
      </c>
      <c r="F5" s="10" t="inlineStr">
        <is>
          <t>Gross Premium (PKR)</t>
        </is>
      </c>
    </row>
    <row r="6">
      <c r="A6" s="7" t="inlineStr">
        <is>
          <t>ADM-MTR-KHI-2024-1001</t>
        </is>
      </c>
      <c r="B6" s="7" t="inlineStr">
        <is>
          <t>Gul Ahmed Textile Mills Ltd</t>
        </is>
      </c>
      <c r="C6" s="7" t="inlineStr">
        <is>
          <t>Motor</t>
        </is>
      </c>
      <c r="D6" s="40" t="n">
        <v>45306</v>
      </c>
      <c r="E6" s="11" t="n">
        <v>12</v>
      </c>
      <c r="F6" s="11" t="n">
        <v>985000</v>
      </c>
    </row>
    <row r="7">
      <c r="A7" s="15" t="inlineStr">
        <is>
          <t>ADM-MAR-KHI-2024-1003</t>
        </is>
      </c>
      <c r="B7" s="15" t="inlineStr">
        <is>
          <t>Lucky Cement Limited</t>
        </is>
      </c>
      <c r="C7" s="15" t="inlineStr">
        <is>
          <t>Marine Cargo</t>
        </is>
      </c>
      <c r="D7" s="41" t="n">
        <v>45351</v>
      </c>
      <c r="E7" s="14" t="n">
        <v>6</v>
      </c>
      <c r="F7" s="14" t="n">
        <v>1640000</v>
      </c>
    </row>
    <row r="8">
      <c r="A8" s="7" t="inlineStr">
        <is>
          <t>ADM-ENG-FSD-2024-1005</t>
        </is>
      </c>
      <c r="B8" s="7" t="inlineStr">
        <is>
          <t>Interloop Limited</t>
        </is>
      </c>
      <c r="C8" s="7" t="inlineStr">
        <is>
          <t>Engineering</t>
        </is>
      </c>
      <c r="D8" s="40" t="n">
        <v>45361</v>
      </c>
      <c r="E8" s="11" t="n">
        <v>36</v>
      </c>
      <c r="F8" s="11" t="n">
        <v>720000</v>
      </c>
    </row>
    <row r="9">
      <c r="A9" s="15" t="inlineStr">
        <is>
          <t>ADM-FIR-LHR-2024-1002</t>
        </is>
      </c>
      <c r="B9" s="15" t="inlineStr">
        <is>
          <t>Nishat Mills Limited</t>
        </is>
      </c>
      <c r="C9" s="15" t="inlineStr">
        <is>
          <t>Fire &amp; Property</t>
        </is>
      </c>
      <c r="D9" s="41" t="n">
        <v>45383</v>
      </c>
      <c r="E9" s="14" t="n">
        <v>12</v>
      </c>
      <c r="F9" s="14" t="n">
        <v>1210000</v>
      </c>
    </row>
    <row r="10">
      <c r="A10" s="7" t="inlineStr">
        <is>
          <t>ADM-HLT-ISB-2024-1004</t>
        </is>
      </c>
      <c r="B10" s="7" t="inlineStr">
        <is>
          <t>Bilal Ahmed Khan</t>
        </is>
      </c>
      <c r="C10" s="7" t="inlineStr">
        <is>
          <t>Health</t>
        </is>
      </c>
      <c r="D10" s="40" t="n">
        <v>45443</v>
      </c>
      <c r="E10" s="11" t="n">
        <v>12</v>
      </c>
      <c r="F10" s="11" t="n">
        <v>205000</v>
      </c>
    </row>
    <row r="11">
      <c r="A11" s="15" t="inlineStr">
        <is>
          <t>ADM-TRV-KHI-2024-1007</t>
        </is>
      </c>
      <c r="B11" s="15" t="inlineStr">
        <is>
          <t>Ahmed Raza Qureshi</t>
        </is>
      </c>
      <c r="C11" s="15" t="inlineStr">
        <is>
          <t>Travel</t>
        </is>
      </c>
      <c r="D11" s="41" t="n">
        <v>45461</v>
      </c>
      <c r="E11" s="14" t="n">
        <v>3</v>
      </c>
      <c r="F11" s="14" t="n">
        <v>148000</v>
      </c>
    </row>
    <row r="12">
      <c r="A12" s="7" t="inlineStr">
        <is>
          <t>ADM-MSC-PEW-2024-1008</t>
        </is>
      </c>
      <c r="B12" s="7" t="inlineStr">
        <is>
          <t>Descon Engineering Ltd</t>
        </is>
      </c>
      <c r="C12" s="7" t="inlineStr">
        <is>
          <t>Miscellaneous</t>
        </is>
      </c>
      <c r="D12" s="40" t="n">
        <v>45535</v>
      </c>
      <c r="E12" s="11" t="n">
        <v>18</v>
      </c>
      <c r="F12" s="11" t="n">
        <v>640000</v>
      </c>
    </row>
    <row r="13">
      <c r="A13" s="15" t="inlineStr">
        <is>
          <t>ADM-MTR-LHR-2024-1006</t>
        </is>
      </c>
      <c r="B13" s="15" t="inlineStr">
        <is>
          <t>Fatima Siddiqui</t>
        </is>
      </c>
      <c r="C13" s="15" t="inlineStr">
        <is>
          <t>Motor</t>
        </is>
      </c>
      <c r="D13" s="41" t="n">
        <v>45626</v>
      </c>
      <c r="E13" s="14" t="n">
        <v>12</v>
      </c>
      <c r="F13" s="14" t="n">
        <v>46800</v>
      </c>
    </row>
    <row r="14">
      <c r="A14" s="7" t="inlineStr">
        <is>
          <t>ADM-FIR-MUL-2024-1009</t>
        </is>
      </c>
      <c r="B14" s="7" t="inlineStr">
        <is>
          <t>Fauji Fertilizer Company</t>
        </is>
      </c>
      <c r="C14" s="7" t="inlineStr">
        <is>
          <t>Fire &amp; Property</t>
        </is>
      </c>
      <c r="D14" s="40" t="n">
        <v>45641</v>
      </c>
      <c r="E14" s="11" t="n">
        <v>24</v>
      </c>
      <c r="F14" s="11" t="n">
        <v>2310000</v>
      </c>
    </row>
    <row r="16">
      <c r="A16" s="9" t="inlineStr">
        <is>
          <t>Table B — Reporting parameters</t>
        </is>
      </c>
    </row>
    <row r="17" ht="30" customHeight="1">
      <c r="A17" s="10" t="inlineStr">
        <is>
          <t>Parameter</t>
        </is>
      </c>
      <c r="B17" s="10" t="inlineStr">
        <is>
          <t>Value</t>
        </is>
      </c>
    </row>
    <row r="18">
      <c r="A18" s="7" t="inlineStr">
        <is>
          <t>Accounting Close Date</t>
        </is>
      </c>
      <c r="B18" s="44" t="n">
        <v>45565</v>
      </c>
    </row>
    <row r="19">
      <c r="A19" s="15" t="inlineStr">
        <is>
          <t>Renewal notice lead time (months)</t>
        </is>
      </c>
      <c r="B19" s="42" t="n">
        <v>-1</v>
      </c>
    </row>
    <row r="20">
      <c r="A20" s="7" t="inlineStr">
        <is>
          <t>Reporting Period</t>
        </is>
      </c>
      <c r="B20" s="7" t="inlineStr">
        <is>
          <t>Q3 2024</t>
        </is>
      </c>
    </row>
    <row r="22">
      <c r="A22"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29.xml><?xml version="1.0" encoding="utf-8"?>
<worksheet xmlns="http://schemas.openxmlformats.org/spreadsheetml/2006/main">
  <sheetPr>
    <tabColor rgb="00C00000"/>
    <outlinePr summaryBelow="1" summaryRight="1"/>
    <pageSetUpPr/>
  </sheetPr>
  <dimension ref="A1:L30"/>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Policy Expiry Schedule for the renewals team</t>
        </is>
      </c>
    </row>
    <row r="3">
      <c r="A3" s="21" t="inlineStr">
        <is>
          <t>Prepared for:</t>
        </is>
      </c>
      <c r="B3" s="22" t="inlineStr">
        <is>
          <t>Manager, Renewals</t>
        </is>
      </c>
    </row>
    <row r="4">
      <c r="A4" s="21" t="inlineStr">
        <is>
          <t>Prepared by:</t>
        </is>
      </c>
      <c r="B4" s="23" t="n"/>
    </row>
    <row r="5">
      <c r="A5" s="21" t="inlineStr">
        <is>
          <t>Reporting date:</t>
        </is>
      </c>
      <c r="B5" s="22" t="inlineStr">
        <is>
          <t>As at reporting date shown on the dataset</t>
        </is>
      </c>
    </row>
    <row r="7" ht="44" customHeight="1">
      <c r="A7" s="24" t="inlineStr">
        <is>
          <t>Policy terms at Adamjee are written in months — 12-month motor, 6-month marine open cover, 36-month engineering. The renewals team currently adds 365 days to inception, which is why a 36-month CAR policy was chased for renewal thirty-four months early.</t>
        </is>
      </c>
    </row>
    <row r="9">
      <c r="A9" s="25" t="inlineStr">
        <is>
          <t>Source data: '1.14 Data'  (click to open)</t>
        </is>
      </c>
    </row>
    <row r="11" ht="16" customHeight="1">
      <c r="A11" s="26" t="inlineStr">
        <is>
          <t>Navy headers below = data linked live from the dataset sheet.   Gold headers = blank — build your formula here.</t>
        </is>
      </c>
    </row>
    <row r="12" ht="30" customHeight="1">
      <c r="A12" s="10" t="inlineStr">
        <is>
          <t>Policy No</t>
        </is>
      </c>
      <c r="B12" s="10" t="inlineStr">
        <is>
          <t>Client</t>
        </is>
      </c>
      <c r="C12" s="10" t="inlineStr">
        <is>
          <t>Product</t>
        </is>
      </c>
      <c r="D12" s="10" t="inlineStr">
        <is>
          <t>Inception</t>
        </is>
      </c>
      <c r="E12" s="10" t="inlineStr">
        <is>
          <t>Term (months)</t>
        </is>
      </c>
      <c r="F12" s="27" t="inlineStr">
        <is>
          <t>Expiry Date</t>
        </is>
      </c>
      <c r="G12" s="27" t="inlineStr">
        <is>
          <t>Renewal Notice Date (one month before expiry)</t>
        </is>
      </c>
    </row>
    <row r="13">
      <c r="A13" s="7">
        <f>'1.14 Data'!A6</f>
        <v/>
      </c>
      <c r="B13" s="7">
        <f>'1.14 Data'!B6</f>
        <v/>
      </c>
      <c r="C13" s="7">
        <f>'1.14 Data'!C6</f>
        <v/>
      </c>
      <c r="D13" s="40">
        <f>'1.14 Data'!D6</f>
        <v/>
      </c>
      <c r="E13" s="11">
        <f>'1.14 Data'!E6</f>
        <v/>
      </c>
      <c r="F13" s="28" t="n"/>
      <c r="G13" s="28" t="n"/>
    </row>
    <row r="14">
      <c r="A14" s="15">
        <f>'1.14 Data'!A7</f>
        <v/>
      </c>
      <c r="B14" s="15">
        <f>'1.14 Data'!B7</f>
        <v/>
      </c>
      <c r="C14" s="15">
        <f>'1.14 Data'!C7</f>
        <v/>
      </c>
      <c r="D14" s="41">
        <f>'1.14 Data'!D7</f>
        <v/>
      </c>
      <c r="E14" s="14">
        <f>'1.14 Data'!E7</f>
        <v/>
      </c>
      <c r="F14" s="28" t="n"/>
      <c r="G14" s="28" t="n"/>
    </row>
    <row r="15">
      <c r="A15" s="7">
        <f>'1.14 Data'!A8</f>
        <v/>
      </c>
      <c r="B15" s="7">
        <f>'1.14 Data'!B8</f>
        <v/>
      </c>
      <c r="C15" s="7">
        <f>'1.14 Data'!C8</f>
        <v/>
      </c>
      <c r="D15" s="40">
        <f>'1.14 Data'!D8</f>
        <v/>
      </c>
      <c r="E15" s="11">
        <f>'1.14 Data'!E8</f>
        <v/>
      </c>
      <c r="F15" s="28" t="n"/>
      <c r="G15" s="28" t="n"/>
    </row>
    <row r="16">
      <c r="A16" s="15">
        <f>'1.14 Data'!A9</f>
        <v/>
      </c>
      <c r="B16" s="15">
        <f>'1.14 Data'!B9</f>
        <v/>
      </c>
      <c r="C16" s="15">
        <f>'1.14 Data'!C9</f>
        <v/>
      </c>
      <c r="D16" s="41">
        <f>'1.14 Data'!D9</f>
        <v/>
      </c>
      <c r="E16" s="14">
        <f>'1.14 Data'!E9</f>
        <v/>
      </c>
      <c r="F16" s="28" t="n"/>
      <c r="G16" s="28" t="n"/>
    </row>
    <row r="17">
      <c r="A17" s="7">
        <f>'1.14 Data'!A10</f>
        <v/>
      </c>
      <c r="B17" s="7">
        <f>'1.14 Data'!B10</f>
        <v/>
      </c>
      <c r="C17" s="7">
        <f>'1.14 Data'!C10</f>
        <v/>
      </c>
      <c r="D17" s="40">
        <f>'1.14 Data'!D10</f>
        <v/>
      </c>
      <c r="E17" s="11">
        <f>'1.14 Data'!E10</f>
        <v/>
      </c>
      <c r="F17" s="28" t="n"/>
      <c r="G17" s="28" t="n"/>
    </row>
    <row r="18">
      <c r="A18" s="15">
        <f>'1.14 Data'!A11</f>
        <v/>
      </c>
      <c r="B18" s="15">
        <f>'1.14 Data'!B11</f>
        <v/>
      </c>
      <c r="C18" s="15">
        <f>'1.14 Data'!C11</f>
        <v/>
      </c>
      <c r="D18" s="41">
        <f>'1.14 Data'!D11</f>
        <v/>
      </c>
      <c r="E18" s="14">
        <f>'1.14 Data'!E11</f>
        <v/>
      </c>
      <c r="F18" s="28" t="n"/>
      <c r="G18" s="28" t="n"/>
    </row>
    <row r="19">
      <c r="A19" s="7">
        <f>'1.14 Data'!A12</f>
        <v/>
      </c>
      <c r="B19" s="7">
        <f>'1.14 Data'!B12</f>
        <v/>
      </c>
      <c r="C19" s="7">
        <f>'1.14 Data'!C12</f>
        <v/>
      </c>
      <c r="D19" s="40">
        <f>'1.14 Data'!D12</f>
        <v/>
      </c>
      <c r="E19" s="11">
        <f>'1.14 Data'!E12</f>
        <v/>
      </c>
      <c r="F19" s="28" t="n"/>
      <c r="G19" s="28" t="n"/>
    </row>
    <row r="20">
      <c r="A20" s="15">
        <f>'1.14 Data'!A13</f>
        <v/>
      </c>
      <c r="B20" s="15">
        <f>'1.14 Data'!B13</f>
        <v/>
      </c>
      <c r="C20" s="15">
        <f>'1.14 Data'!C13</f>
        <v/>
      </c>
      <c r="D20" s="41">
        <f>'1.14 Data'!D13</f>
        <v/>
      </c>
      <c r="E20" s="14">
        <f>'1.14 Data'!E13</f>
        <v/>
      </c>
      <c r="F20" s="28" t="n"/>
      <c r="G20" s="28" t="n"/>
    </row>
    <row r="21">
      <c r="A21" s="7">
        <f>'1.14 Data'!A14</f>
        <v/>
      </c>
      <c r="B21" s="7">
        <f>'1.14 Data'!B14</f>
        <v/>
      </c>
      <c r="C21" s="7">
        <f>'1.14 Data'!C14</f>
        <v/>
      </c>
      <c r="D21" s="40">
        <f>'1.14 Data'!D14</f>
        <v/>
      </c>
      <c r="E21" s="11">
        <f>'1.14 Data'!E14</f>
        <v/>
      </c>
      <c r="F21" s="28" t="n"/>
      <c r="G21" s="28" t="n"/>
    </row>
    <row r="22">
      <c r="A22" s="29" t="inlineStr">
        <is>
          <t>TOTAL / RESULT</t>
        </is>
      </c>
      <c r="B22" s="30" t="n"/>
      <c r="C22" s="30" t="n"/>
      <c r="D22" s="30" t="n"/>
      <c r="E22" s="30" t="n"/>
      <c r="F22" s="31" t="n"/>
      <c r="G22" s="31" t="n"/>
    </row>
    <row r="24" ht="32" customHeight="1">
      <c r="A24"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6" ht="19" customHeight="1">
      <c r="A26" s="33" t="inlineStr">
        <is>
          <t>FURTHER REQUESTS ON THIS DATASET</t>
        </is>
      </c>
    </row>
    <row r="27" ht="20" customHeight="1">
      <c r="A27" s="34" t="inlineStr">
        <is>
          <t>#</t>
        </is>
      </c>
      <c r="B27" s="34" t="inlineStr">
        <is>
          <t>Request</t>
        </is>
      </c>
      <c r="C27" s="34" t="inlineStr">
        <is>
          <t>Requested by</t>
        </is>
      </c>
      <c r="D27" s="34" t="inlineStr">
        <is>
          <t>Report / figure required</t>
        </is>
      </c>
      <c r="E27" s="34" t="inlineStr">
        <is>
          <t>Your formula or answer</t>
        </is>
      </c>
    </row>
    <row r="28" ht="52" customHeight="1">
      <c r="A28" s="35" t="n">
        <v>1</v>
      </c>
      <c r="B28" s="36" t="inlineStr">
        <is>
          <t>Leap-year exception note for the Marine open cover</t>
        </is>
      </c>
      <c r="C28" s="37" t="inlineStr">
        <is>
          <t>Manager, Renewals</t>
        </is>
      </c>
      <c r="D28" s="38" t="inlineStr">
        <is>
          <t>A one-line written explanation of what EDATE returns for a 29-February inception and why, plus the expiry date you will confirm to the client.</t>
        </is>
      </c>
      <c r="E28" s="39" t="n"/>
    </row>
    <row r="29" ht="65" customHeight="1">
      <c r="A29" s="35" t="n">
        <v>2</v>
      </c>
      <c r="B29" s="36" t="inlineStr">
        <is>
          <t>Unearned Premium Reserve schedule as at 30 September</t>
        </is>
      </c>
      <c r="C29" s="37" t="inlineStr">
        <is>
          <t>Finance Manager — Technical Accounts</t>
        </is>
      </c>
      <c r="D29" s="38" t="inlineStr">
        <is>
          <t>A UPR schedule: Policy No | Inception | Accounting month-end of inception | Expiry | Months earned to 30 September | Months unearned | Unearned Premium (PKR). Amounts #,##0.</t>
        </is>
      </c>
      <c r="E29" s="39" t="n"/>
    </row>
    <row r="30" ht="52" customHeight="1">
      <c r="A30" s="35" t="n">
        <v>3</v>
      </c>
      <c r="B30" s="36" t="inlineStr">
        <is>
          <t>Q3 Expiry Count for the renewals resourcing plan</t>
        </is>
      </c>
      <c r="C30" s="37" t="inlineStr">
        <is>
          <t>Manager, Renewals</t>
        </is>
      </c>
      <c r="D30" s="38" t="inlineStr">
        <is>
          <t>A resourcing summary: expiries falling in July, August and September 2024 counted separately, with total premium at risk for each month and a quarter total.</t>
        </is>
      </c>
      <c r="E30" s="39" t="n"/>
    </row>
  </sheetData>
  <mergeCells count="6">
    <mergeCell ref="A2:L2"/>
    <mergeCell ref="A7:K7"/>
    <mergeCell ref="A1:L1"/>
    <mergeCell ref="A24:G24"/>
    <mergeCell ref="A26:F26"/>
    <mergeCell ref="A11:G11"/>
  </mergeCells>
  <hyperlinks>
    <hyperlink xmlns:r="http://schemas.openxmlformats.org/officeDocument/2006/relationships" ref="A9" r:id="rId1"/>
  </hyperlinks>
  <pageMargins left="0.75" right="0.75" top="1" bottom="1" header="0.5" footer="0.5"/>
</worksheet>
</file>

<file path=xl/worksheets/sheet30.xml><?xml version="1.0" encoding="utf-8"?>
<worksheet xmlns="http://schemas.openxmlformats.org/spreadsheetml/2006/main">
  <sheetPr>
    <tabColor rgb="001F3864"/>
    <outlinePr summaryBelow="1" summaryRight="1"/>
    <pageSetUpPr/>
  </sheetPr>
  <dimension ref="A1:F39"/>
  <sheetViews>
    <sheetView showGridLines="0" workbookViewId="0">
      <pane ySplit="5" topLeftCell="A6" activePane="bottomLeft" state="frozen"/>
      <selection pane="bottomLeft" activeCell="A1" sqref="A1"/>
    </sheetView>
  </sheetViews>
  <sheetFormatPr baseColWidth="8" defaultRowHeight="15"/>
  <cols>
    <col width="24" customWidth="1" min="1" max="1"/>
    <col width="24" customWidth="1" min="2" max="2"/>
    <col width="30" customWidth="1" min="3" max="3"/>
    <col width="20" customWidth="1" min="4" max="4"/>
    <col width="20" customWidth="1" min="5" max="5"/>
    <col width="20" customWidth="1" min="6" max="6"/>
  </cols>
  <sheetData>
    <row r="1" ht="26" customHeight="1">
      <c r="A1" s="1" t="inlineStr">
        <is>
          <t>Dataset 1.15  —  WORKDAY and WORKDAY.INTL</t>
        </is>
      </c>
    </row>
    <row r="2" ht="16" customHeight="1">
      <c r="A2" s="2" t="inlineStr">
        <is>
          <t>Session 1: Advanced Lookup, Text &amp; Date Functions | Part C: Advanced Date Functions   |   Adamjee Assurance Company Limited (Pakistan) — training data, figures in PKR</t>
        </is>
      </c>
    </row>
    <row r="4">
      <c r="A4" s="9" t="inlineStr">
        <is>
          <t>Table A — Claims intimated, with SLA targets</t>
        </is>
      </c>
    </row>
    <row r="5" ht="30" customHeight="1">
      <c r="A5" s="10" t="inlineStr">
        <is>
          <t>Claim No</t>
        </is>
      </c>
      <c r="B5" s="10" t="inlineStr">
        <is>
          <t>Branch</t>
        </is>
      </c>
      <c r="C5" s="10" t="inlineStr">
        <is>
          <t>Intimation Date</t>
        </is>
      </c>
      <c r="D5" s="10" t="inlineStr">
        <is>
          <t>Survey SLA (working days)</t>
        </is>
      </c>
      <c r="E5" s="10" t="inlineStr">
        <is>
          <t>Payment SLA (working days)</t>
        </is>
      </c>
      <c r="F5" s="10" t="inlineStr">
        <is>
          <t>Claimed Amount (PKR)</t>
        </is>
      </c>
    </row>
    <row r="6">
      <c r="A6" s="7" t="inlineStr">
        <is>
          <t>CLM-KHI-2024-0501</t>
        </is>
      </c>
      <c r="B6" s="7" t="inlineStr">
        <is>
          <t>Karachi Main</t>
        </is>
      </c>
      <c r="C6" s="40" t="n">
        <v>45385</v>
      </c>
      <c r="D6" s="11" t="n">
        <v>5</v>
      </c>
      <c r="E6" s="11" t="n">
        <v>10</v>
      </c>
      <c r="F6" s="11" t="n">
        <v>385000</v>
      </c>
    </row>
    <row r="7">
      <c r="A7" s="15" t="inlineStr">
        <is>
          <t>CLM-LHR-2024-0502</t>
        </is>
      </c>
      <c r="B7" s="15" t="inlineStr">
        <is>
          <t>Lahore Gulberg</t>
        </is>
      </c>
      <c r="C7" s="41" t="n">
        <v>45390</v>
      </c>
      <c r="D7" s="14" t="n">
        <v>5</v>
      </c>
      <c r="E7" s="14" t="n">
        <v>10</v>
      </c>
      <c r="F7" s="14" t="n">
        <v>1240000</v>
      </c>
    </row>
    <row r="8">
      <c r="A8" s="7" t="inlineStr">
        <is>
          <t>CLM-ISB-2024-0503</t>
        </is>
      </c>
      <c r="B8" s="7" t="inlineStr">
        <is>
          <t>Islamabad Blue Area</t>
        </is>
      </c>
      <c r="C8" s="40" t="n">
        <v>45455</v>
      </c>
      <c r="D8" s="11" t="n">
        <v>3</v>
      </c>
      <c r="E8" s="11" t="n">
        <v>7</v>
      </c>
      <c r="F8" s="11" t="n">
        <v>92500</v>
      </c>
    </row>
    <row r="9">
      <c r="A9" s="15" t="inlineStr">
        <is>
          <t>CLM-FSD-2024-0504</t>
        </is>
      </c>
      <c r="B9" s="15" t="inlineStr">
        <is>
          <t>Faisalabad</t>
        </is>
      </c>
      <c r="C9" s="41" t="n">
        <v>45457</v>
      </c>
      <c r="D9" s="14" t="n">
        <v>5</v>
      </c>
      <c r="E9" s="14" t="n">
        <v>15</v>
      </c>
      <c r="F9" s="14" t="n">
        <v>660000</v>
      </c>
    </row>
    <row r="10">
      <c r="A10" s="7" t="inlineStr">
        <is>
          <t>CLM-MUL-2024-0505</t>
        </is>
      </c>
      <c r="B10" s="7" t="inlineStr">
        <is>
          <t>Multan</t>
        </is>
      </c>
      <c r="C10" s="40" t="n">
        <v>45513</v>
      </c>
      <c r="D10" s="11" t="n">
        <v>5</v>
      </c>
      <c r="E10" s="11" t="n">
        <v>10</v>
      </c>
      <c r="F10" s="11" t="n">
        <v>208000</v>
      </c>
    </row>
    <row r="11">
      <c r="A11" s="15" t="inlineStr">
        <is>
          <t>CLM-KHI-2024-0506</t>
        </is>
      </c>
      <c r="B11" s="15" t="inlineStr">
        <is>
          <t>Karachi Main</t>
        </is>
      </c>
      <c r="C11" s="41" t="n">
        <v>45516</v>
      </c>
      <c r="D11" s="14" t="n">
        <v>7</v>
      </c>
      <c r="E11" s="14" t="n">
        <v>12</v>
      </c>
      <c r="F11" s="14" t="n">
        <v>1875000</v>
      </c>
    </row>
    <row r="12">
      <c r="A12" s="7" t="inlineStr">
        <is>
          <t>CLM-PEW-2024-0507</t>
        </is>
      </c>
      <c r="B12" s="7" t="inlineStr">
        <is>
          <t>Peshawar</t>
        </is>
      </c>
      <c r="C12" s="40" t="n">
        <v>45646</v>
      </c>
      <c r="D12" s="11" t="n">
        <v>5</v>
      </c>
      <c r="E12" s="11" t="n">
        <v>10</v>
      </c>
      <c r="F12" s="11" t="n">
        <v>445000</v>
      </c>
    </row>
    <row r="13">
      <c r="A13" s="15" t="inlineStr">
        <is>
          <t>CLM-HYD-2024-0508</t>
        </is>
      </c>
      <c r="B13" s="15" t="inlineStr">
        <is>
          <t>Hyderabad</t>
        </is>
      </c>
      <c r="C13" s="41" t="n">
        <v>45650</v>
      </c>
      <c r="D13" s="14" t="n">
        <v>5</v>
      </c>
      <c r="E13" s="14" t="n">
        <v>10</v>
      </c>
      <c r="F13" s="14" t="n">
        <v>130000</v>
      </c>
    </row>
    <row r="15">
      <c r="A15" s="9" t="inlineStr">
        <is>
          <t>Table B — Pakistan public holidays 2024 (as observed by the company)</t>
        </is>
      </c>
    </row>
    <row r="16" ht="30" customHeight="1">
      <c r="A16" s="10" t="inlineStr">
        <is>
          <t>Holiday</t>
        </is>
      </c>
      <c r="B16" s="10" t="inlineStr">
        <is>
          <t>Date</t>
        </is>
      </c>
    </row>
    <row r="17">
      <c r="A17" s="7" t="inlineStr">
        <is>
          <t>Kashmir Day</t>
        </is>
      </c>
      <c r="B17" s="40" t="n">
        <v>45327</v>
      </c>
    </row>
    <row r="18">
      <c r="A18" s="15" t="inlineStr">
        <is>
          <t>Pakistan Day</t>
        </is>
      </c>
      <c r="B18" s="41" t="n">
        <v>45374</v>
      </c>
    </row>
    <row r="19">
      <c r="A19" s="7" t="inlineStr">
        <is>
          <t>Eid-ul-Fitr Day 1</t>
        </is>
      </c>
      <c r="B19" s="40" t="n">
        <v>45392</v>
      </c>
    </row>
    <row r="20">
      <c r="A20" s="15" t="inlineStr">
        <is>
          <t>Eid-ul-Fitr Day 2</t>
        </is>
      </c>
      <c r="B20" s="41" t="n">
        <v>45393</v>
      </c>
    </row>
    <row r="21">
      <c r="A21" s="7" t="inlineStr">
        <is>
          <t>Eid-ul-Fitr Day 3</t>
        </is>
      </c>
      <c r="B21" s="40" t="n">
        <v>45394</v>
      </c>
    </row>
    <row r="22">
      <c r="A22" s="15" t="inlineStr">
        <is>
          <t>Labour Day</t>
        </is>
      </c>
      <c r="B22" s="41" t="n">
        <v>45413</v>
      </c>
    </row>
    <row r="23">
      <c r="A23" s="7" t="inlineStr">
        <is>
          <t>Eid-ul-Azha Day 1</t>
        </is>
      </c>
      <c r="B23" s="40" t="n">
        <v>45460</v>
      </c>
    </row>
    <row r="24">
      <c r="A24" s="15" t="inlineStr">
        <is>
          <t>Eid-ul-Azha Day 2</t>
        </is>
      </c>
      <c r="B24" s="41" t="n">
        <v>45461</v>
      </c>
    </row>
    <row r="25">
      <c r="A25" s="7" t="inlineStr">
        <is>
          <t>Eid-ul-Azha Day 3</t>
        </is>
      </c>
      <c r="B25" s="40" t="n">
        <v>45462</v>
      </c>
    </row>
    <row r="26">
      <c r="A26" s="15" t="inlineStr">
        <is>
          <t>Ashura (9 Muharram)</t>
        </is>
      </c>
      <c r="B26" s="41" t="n">
        <v>45489</v>
      </c>
    </row>
    <row r="27">
      <c r="A27" s="7" t="inlineStr">
        <is>
          <t>Ashura (10 Muharram)</t>
        </is>
      </c>
      <c r="B27" s="40" t="n">
        <v>45490</v>
      </c>
    </row>
    <row r="28">
      <c r="A28" s="15" t="inlineStr">
        <is>
          <t>Independence Day</t>
        </is>
      </c>
      <c r="B28" s="41" t="n">
        <v>45518</v>
      </c>
    </row>
    <row r="29">
      <c r="A29" s="7" t="inlineStr">
        <is>
          <t>Eid Milad-un-Nabi</t>
        </is>
      </c>
      <c r="B29" s="40" t="n">
        <v>45551</v>
      </c>
    </row>
    <row r="30">
      <c r="A30" s="15" t="inlineStr">
        <is>
          <t>Iqbal Day</t>
        </is>
      </c>
      <c r="B30" s="41" t="n">
        <v>45605</v>
      </c>
    </row>
    <row r="31">
      <c r="A31" s="7" t="inlineStr">
        <is>
          <t>Quaid-e-Azam Day / Christmas</t>
        </is>
      </c>
      <c r="B31" s="40" t="n">
        <v>45651</v>
      </c>
    </row>
    <row r="33">
      <c r="A33" s="9" t="inlineStr">
        <is>
          <t>Table C — Working week patterns</t>
        </is>
      </c>
    </row>
    <row r="34" ht="30" customHeight="1">
      <c r="A34" s="10" t="inlineStr">
        <is>
          <t>Office</t>
        </is>
      </c>
      <c r="B34" s="10" t="inlineStr">
        <is>
          <t>Working Week</t>
        </is>
      </c>
      <c r="C34" s="10" t="inlineStr">
        <is>
          <t>WORKDAY.INTL weekend argument</t>
        </is>
      </c>
    </row>
    <row r="35">
      <c r="A35" s="7" t="inlineStr">
        <is>
          <t>Karachi Head Office</t>
        </is>
      </c>
      <c r="B35" s="7" t="inlineStr">
        <is>
          <t>Monday to Friday</t>
        </is>
      </c>
      <c r="C35" s="7" t="inlineStr">
        <is>
          <t>1  (Sat, Sun off)</t>
        </is>
      </c>
    </row>
    <row r="36">
      <c r="A36" s="15" t="inlineStr">
        <is>
          <t>Regional branches</t>
        </is>
      </c>
      <c r="B36" s="15" t="inlineStr">
        <is>
          <t>Monday to Saturday</t>
        </is>
      </c>
      <c r="C36" s="15" t="inlineStr">
        <is>
          <t>11 (Sunday only off)</t>
        </is>
      </c>
    </row>
    <row r="37">
      <c r="A37" s="7" t="inlineStr">
        <is>
          <t>Bancassurance desk</t>
        </is>
      </c>
      <c r="B37" s="7" t="inlineStr">
        <is>
          <t>Sunday to Thursday</t>
        </is>
      </c>
      <c r="C37" s="7" t="inlineStr">
        <is>
          <t>7  (Fri, Sat off)</t>
        </is>
      </c>
    </row>
    <row r="39">
      <c r="A3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31.xml><?xml version="1.0" encoding="utf-8"?>
<worksheet xmlns="http://schemas.openxmlformats.org/spreadsheetml/2006/main">
  <sheetPr>
    <tabColor rgb="00C00000"/>
    <outlinePr summaryBelow="1" summaryRight="1"/>
    <pageSetUpPr/>
  </sheetPr>
  <dimension ref="A1:L29"/>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Claims SLA Tracker — survey report due dates</t>
        </is>
      </c>
    </row>
    <row r="3">
      <c r="A3" s="21" t="inlineStr">
        <is>
          <t>Prepared for:</t>
        </is>
      </c>
      <c r="B3" s="22" t="inlineStr">
        <is>
          <t>Head of Claims Operations</t>
        </is>
      </c>
    </row>
    <row r="4">
      <c r="A4" s="21" t="inlineStr">
        <is>
          <t>Prepared by:</t>
        </is>
      </c>
      <c r="B4" s="23" t="n"/>
    </row>
    <row r="5">
      <c r="A5" s="21" t="inlineStr">
        <is>
          <t>Reporting date:</t>
        </is>
      </c>
      <c r="B5" s="22" t="inlineStr">
        <is>
          <t>As at reporting date shown on the dataset</t>
        </is>
      </c>
    </row>
    <row r="7" ht="44" customHeight="1">
      <c r="A7" s="24" t="inlineStr">
        <is>
          <t>The claims SLA is measured in working days, not calendar days. The current tracker adds five calendar days, so every claim intimated before a weekend or an Eid holiday shows as breached when it is not. The Service Quality Committee has been shown a breach rate that is wrong for three months running.</t>
        </is>
      </c>
    </row>
    <row r="9">
      <c r="A9" s="25" t="inlineStr">
        <is>
          <t>Source data: '1.15 Data'  (click to open)</t>
        </is>
      </c>
    </row>
    <row r="11" ht="16" customHeight="1">
      <c r="A11" s="26" t="inlineStr">
        <is>
          <t>Navy headers below = data linked live from the dataset sheet.   Gold headers = blank — build your formula here.</t>
        </is>
      </c>
    </row>
    <row r="12" ht="30" customHeight="1">
      <c r="A12" s="10" t="inlineStr">
        <is>
          <t>Claim No</t>
        </is>
      </c>
      <c r="B12" s="10" t="inlineStr">
        <is>
          <t>Branch</t>
        </is>
      </c>
      <c r="C12" s="10" t="inlineStr">
        <is>
          <t>Intimation Date</t>
        </is>
      </c>
      <c r="D12" s="27" t="inlineStr">
        <is>
          <t>Survey SLA days</t>
        </is>
      </c>
      <c r="E12" s="27" t="inlineStr">
        <is>
          <t>Survey Report Due (working days</t>
        </is>
      </c>
    </row>
    <row r="13">
      <c r="A13" s="7">
        <f>'1.15 Data'!A6</f>
        <v/>
      </c>
      <c r="B13" s="7">
        <f>'1.15 Data'!B6</f>
        <v/>
      </c>
      <c r="C13" s="40">
        <f>'1.15 Data'!C6</f>
        <v/>
      </c>
      <c r="D13" s="28" t="n"/>
      <c r="E13" s="28" t="n"/>
    </row>
    <row r="14">
      <c r="A14" s="15">
        <f>'1.15 Data'!A7</f>
        <v/>
      </c>
      <c r="B14" s="15">
        <f>'1.15 Data'!B7</f>
        <v/>
      </c>
      <c r="C14" s="41">
        <f>'1.15 Data'!C7</f>
        <v/>
      </c>
      <c r="D14" s="28" t="n"/>
      <c r="E14" s="28" t="n"/>
    </row>
    <row r="15">
      <c r="A15" s="7">
        <f>'1.15 Data'!A8</f>
        <v/>
      </c>
      <c r="B15" s="7">
        <f>'1.15 Data'!B8</f>
        <v/>
      </c>
      <c r="C15" s="40">
        <f>'1.15 Data'!C8</f>
        <v/>
      </c>
      <c r="D15" s="28" t="n"/>
      <c r="E15" s="28" t="n"/>
    </row>
    <row r="16">
      <c r="A16" s="15">
        <f>'1.15 Data'!A9</f>
        <v/>
      </c>
      <c r="B16" s="15">
        <f>'1.15 Data'!B9</f>
        <v/>
      </c>
      <c r="C16" s="41">
        <f>'1.15 Data'!C9</f>
        <v/>
      </c>
      <c r="D16" s="28" t="n"/>
      <c r="E16" s="28" t="n"/>
    </row>
    <row r="17">
      <c r="A17" s="7">
        <f>'1.15 Data'!A10</f>
        <v/>
      </c>
      <c r="B17" s="7">
        <f>'1.15 Data'!B10</f>
        <v/>
      </c>
      <c r="C17" s="40">
        <f>'1.15 Data'!C10</f>
        <v/>
      </c>
      <c r="D17" s="28" t="n"/>
      <c r="E17" s="28" t="n"/>
    </row>
    <row r="18">
      <c r="A18" s="15">
        <f>'1.15 Data'!A11</f>
        <v/>
      </c>
      <c r="B18" s="15">
        <f>'1.15 Data'!B11</f>
        <v/>
      </c>
      <c r="C18" s="41">
        <f>'1.15 Data'!C11</f>
        <v/>
      </c>
      <c r="D18" s="28" t="n"/>
      <c r="E18" s="28" t="n"/>
    </row>
    <row r="19">
      <c r="A19" s="7">
        <f>'1.15 Data'!A12</f>
        <v/>
      </c>
      <c r="B19" s="7">
        <f>'1.15 Data'!B12</f>
        <v/>
      </c>
      <c r="C19" s="40">
        <f>'1.15 Data'!C12</f>
        <v/>
      </c>
      <c r="D19" s="28" t="n"/>
      <c r="E19" s="28" t="n"/>
    </row>
    <row r="20">
      <c r="A20" s="15">
        <f>'1.15 Data'!A13</f>
        <v/>
      </c>
      <c r="B20" s="15">
        <f>'1.15 Data'!B13</f>
        <v/>
      </c>
      <c r="C20" s="41">
        <f>'1.15 Data'!C13</f>
        <v/>
      </c>
      <c r="D20" s="28" t="n"/>
      <c r="E20" s="28" t="n"/>
    </row>
    <row r="21">
      <c r="A21" s="29" t="inlineStr">
        <is>
          <t>TOTAL / RESULT</t>
        </is>
      </c>
      <c r="B21" s="30" t="n"/>
      <c r="C21" s="30" t="n"/>
      <c r="D21" s="31" t="n"/>
      <c r="E21" s="31" t="n"/>
    </row>
    <row r="23" ht="32" customHeight="1">
      <c r="A23"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5" ht="19" customHeight="1">
      <c r="A25" s="33" t="inlineStr">
        <is>
          <t>FURTHER REQUESTS ON THIS DATASET</t>
        </is>
      </c>
    </row>
    <row r="26" ht="20" customHeight="1">
      <c r="A26" s="34" t="inlineStr">
        <is>
          <t>#</t>
        </is>
      </c>
      <c r="B26" s="34" t="inlineStr">
        <is>
          <t>Request</t>
        </is>
      </c>
      <c r="C26" s="34" t="inlineStr">
        <is>
          <t>Requested by</t>
        </is>
      </c>
      <c r="D26" s="34" t="inlineStr">
        <is>
          <t>Report / figure required</t>
        </is>
      </c>
      <c r="E26" s="34" t="inlineStr">
        <is>
          <t>Your formula or answer</t>
        </is>
      </c>
    </row>
    <row r="27" ht="65" customHeight="1">
      <c r="A27" s="35" t="n">
        <v>1</v>
      </c>
      <c r="B27" s="36" t="inlineStr">
        <is>
          <t>Eid impact analysis for the Service Quality Committee</t>
        </is>
      </c>
      <c r="C27" s="37" t="inlineStr">
        <is>
          <t>Head of Claims Operations</t>
        </is>
      </c>
      <c r="D27" s="38" t="inlineStr">
        <is>
          <t>An impact table: Claim No | Intimation Date | Working-day due date | Calendar days consumed | Holidays falling inside the window. Covering the Eid-ul-Fitr, Eid-ul-Azha and Muharram claims.</t>
        </is>
      </c>
      <c r="E27" s="39" t="n"/>
    </row>
    <row r="28" ht="65" customHeight="1">
      <c r="A28" s="35" t="n">
        <v>2</v>
      </c>
      <c r="B28" s="36" t="inlineStr">
        <is>
          <t>Cheque Release Forecast for Treasury</t>
        </is>
      </c>
      <c r="C28" s="37" t="inlineStr">
        <is>
          <t>Treasury Manager</t>
        </is>
      </c>
      <c r="D28" s="38" t="inlineStr">
        <is>
          <t>A release forecast: Claim No | Claimed Amount | Survey Report Due | Payment SLA days | Cheque Release Date | Week of release. Sorted by release date, with a weekly cash requirement total.</t>
        </is>
      </c>
      <c r="E28" s="39" t="n"/>
    </row>
    <row r="29" ht="78" customHeight="1">
      <c r="A29" s="35" t="n">
        <v>3</v>
      </c>
      <c r="B29" s="36" t="inlineStr">
        <is>
          <t>Regional branch SLA under a six-day working week</t>
        </is>
      </c>
      <c r="C29" s="37" t="inlineStr">
        <is>
          <t>Regional Head — Central</t>
        </is>
      </c>
      <c r="D29" s="38" t="inlineStr">
        <is>
          <t>A comparison for claim 0507 (intimated 20-Dec-2024) showing the five working-day due date under all three working weeks: Head Office (Sat/Sun off), Regional (Sunday only off), Bancassurance (Fri/Sat off).</t>
        </is>
      </c>
      <c r="E29" s="39" t="n"/>
    </row>
  </sheetData>
  <mergeCells count="6">
    <mergeCell ref="A2:L2"/>
    <mergeCell ref="A7:K7"/>
    <mergeCell ref="A1:L1"/>
    <mergeCell ref="A11:E11"/>
    <mergeCell ref="A23:E23"/>
    <mergeCell ref="A25:F25"/>
  </mergeCells>
  <hyperlinks>
    <hyperlink xmlns:r="http://schemas.openxmlformats.org/officeDocument/2006/relationships" ref="A9" r:id="rId1"/>
  </hyperlinks>
  <pageMargins left="0.75" right="0.75" top="1" bottom="1" header="0.5" footer="0.5"/>
</worksheet>
</file>

<file path=xl/worksheets/sheet32.xml><?xml version="1.0" encoding="utf-8"?>
<worksheet xmlns="http://schemas.openxmlformats.org/spreadsheetml/2006/main">
  <sheetPr>
    <tabColor rgb="001F3864"/>
    <outlinePr summaryBelow="1" summaryRight="1"/>
    <pageSetUpPr/>
  </sheetPr>
  <dimension ref="A1:F43"/>
  <sheetViews>
    <sheetView showGridLines="0" workbookViewId="0">
      <pane ySplit="5" topLeftCell="A6" activePane="bottomLeft" state="frozen"/>
      <selection pane="bottomLeft" activeCell="A1" sqref="A1"/>
    </sheetView>
  </sheetViews>
  <sheetFormatPr baseColWidth="8" defaultRowHeight="15"/>
  <cols>
    <col width="24" customWidth="1" min="1" max="1"/>
    <col width="24" customWidth="1" min="2" max="2"/>
    <col width="32" customWidth="1" min="3" max="3"/>
    <col width="16" customWidth="1" min="4" max="4"/>
    <col width="22" customWidth="1" min="5" max="5"/>
    <col width="18" customWidth="1" min="6" max="6"/>
  </cols>
  <sheetData>
    <row r="1" ht="26" customHeight="1">
      <c r="A1" s="1" t="inlineStr">
        <is>
          <t>Dataset 1.16  —  WEEKNUM</t>
        </is>
      </c>
    </row>
    <row r="2" ht="16" customHeight="1">
      <c r="A2" s="2" t="inlineStr">
        <is>
          <t>Session 1: Advanced Lookup, Text &amp; Date Functions | Part C: Advanced Date Functions   |   Adamjee Assurance Company Limited (Pakistan) — training data, figures in PKR</t>
        </is>
      </c>
    </row>
    <row r="4">
      <c r="A4" s="9" t="inlineStr">
        <is>
          <t>Table A — Claim intimations, Adamjee Assurance 2024</t>
        </is>
      </c>
    </row>
    <row r="5" ht="30" customHeight="1">
      <c r="A5" s="10" t="inlineStr">
        <is>
          <t>Claim No</t>
        </is>
      </c>
      <c r="B5" s="10" t="inlineStr">
        <is>
          <t>Branch</t>
        </is>
      </c>
      <c r="C5" s="10" t="inlineStr">
        <is>
          <t>Product</t>
        </is>
      </c>
      <c r="D5" s="10" t="inlineStr">
        <is>
          <t>Intimation Date</t>
        </is>
      </c>
      <c r="E5" s="10" t="inlineStr">
        <is>
          <t>Claimed Amount (PKR)</t>
        </is>
      </c>
      <c r="F5" s="10" t="inlineStr">
        <is>
          <t>Claim Status</t>
        </is>
      </c>
    </row>
    <row r="6">
      <c r="A6" s="7" t="inlineStr">
        <is>
          <t>CLM-KHI-2024-0501</t>
        </is>
      </c>
      <c r="B6" s="7" t="inlineStr">
        <is>
          <t>Karachi Main</t>
        </is>
      </c>
      <c r="C6" s="7" t="inlineStr">
        <is>
          <t>Fire &amp; Property</t>
        </is>
      </c>
      <c r="D6" s="40" t="n">
        <v>45767</v>
      </c>
      <c r="E6" s="11" t="n">
        <v>366000</v>
      </c>
      <c r="F6" s="7" t="inlineStr">
        <is>
          <t>Settled</t>
        </is>
      </c>
    </row>
    <row r="7">
      <c r="A7" s="15" t="inlineStr">
        <is>
          <t>CLM-LHR-2024-0502</t>
        </is>
      </c>
      <c r="B7" s="15" t="inlineStr">
        <is>
          <t>Lahore Gulberg</t>
        </is>
      </c>
      <c r="C7" s="15" t="inlineStr">
        <is>
          <t>Travel</t>
        </is>
      </c>
      <c r="D7" s="41" t="n">
        <v>45643</v>
      </c>
      <c r="E7" s="14" t="n">
        <v>2562000</v>
      </c>
      <c r="F7" s="15" t="inlineStr">
        <is>
          <t>Settled</t>
        </is>
      </c>
    </row>
    <row r="8">
      <c r="A8" s="7" t="inlineStr">
        <is>
          <t>CLM-ISB-2024-0503</t>
        </is>
      </c>
      <c r="B8" s="7" t="inlineStr">
        <is>
          <t>Islamabad Blue Area</t>
        </is>
      </c>
      <c r="C8" s="7" t="inlineStr">
        <is>
          <t>Motor</t>
        </is>
      </c>
      <c r="D8" s="40" t="n">
        <v>45735</v>
      </c>
      <c r="E8" s="11" t="n">
        <v>995000</v>
      </c>
      <c r="F8" s="7" t="inlineStr">
        <is>
          <t>Settled</t>
        </is>
      </c>
    </row>
    <row r="9">
      <c r="A9" s="15" t="inlineStr">
        <is>
          <t>CLM-FSD-2024-0504</t>
        </is>
      </c>
      <c r="B9" s="15" t="inlineStr">
        <is>
          <t>Faisalabad</t>
        </is>
      </c>
      <c r="C9" s="15" t="inlineStr">
        <is>
          <t>Health</t>
        </is>
      </c>
      <c r="D9" s="41" t="n">
        <v>45716</v>
      </c>
      <c r="E9" s="14" t="n">
        <v>3419000</v>
      </c>
      <c r="F9" s="15" t="inlineStr">
        <is>
          <t>Settled</t>
        </is>
      </c>
    </row>
    <row r="10">
      <c r="A10" s="7" t="inlineStr">
        <is>
          <t>CLM-MUL-2024-0505</t>
        </is>
      </c>
      <c r="B10" s="7" t="inlineStr">
        <is>
          <t>Multan</t>
        </is>
      </c>
      <c r="C10" s="7" t="inlineStr">
        <is>
          <t>Miscellaneous</t>
        </is>
      </c>
      <c r="D10" s="40" t="n">
        <v>45801</v>
      </c>
      <c r="E10" s="11" t="n">
        <v>80000</v>
      </c>
      <c r="F10" s="7" t="inlineStr">
        <is>
          <t>Settled</t>
        </is>
      </c>
    </row>
    <row r="11">
      <c r="A11" s="15" t="inlineStr">
        <is>
          <t>CLM-PEW-2024-0506</t>
        </is>
      </c>
      <c r="B11" s="15" t="inlineStr">
        <is>
          <t>Peshawar</t>
        </is>
      </c>
      <c r="C11" s="15" t="inlineStr">
        <is>
          <t>Marine Cargo</t>
        </is>
      </c>
      <c r="D11" s="41" t="n">
        <v>45672</v>
      </c>
      <c r="E11" s="14" t="n">
        <v>5265000</v>
      </c>
      <c r="F11" s="15" t="inlineStr">
        <is>
          <t>Under Survey</t>
        </is>
      </c>
    </row>
    <row r="12">
      <c r="A12" s="7" t="inlineStr">
        <is>
          <t>CLM-QTA-2024-0507</t>
        </is>
      </c>
      <c r="B12" s="7" t="inlineStr">
        <is>
          <t>Quetta</t>
        </is>
      </c>
      <c r="C12" s="7" t="inlineStr">
        <is>
          <t>Engineering</t>
        </is>
      </c>
      <c r="D12" s="40" t="n">
        <v>45760</v>
      </c>
      <c r="E12" s="11" t="n">
        <v>3655000</v>
      </c>
      <c r="F12" s="7" t="inlineStr">
        <is>
          <t>Settled</t>
        </is>
      </c>
    </row>
    <row r="13">
      <c r="A13" s="15" t="inlineStr">
        <is>
          <t>CLM-HYD-2024-0508</t>
        </is>
      </c>
      <c r="B13" s="15" t="inlineStr">
        <is>
          <t>Hyderabad</t>
        </is>
      </c>
      <c r="C13" s="15" t="inlineStr">
        <is>
          <t>Fire &amp; Property</t>
        </is>
      </c>
      <c r="D13" s="41" t="n">
        <v>45662</v>
      </c>
      <c r="E13" s="14" t="n">
        <v>3102000</v>
      </c>
      <c r="F13" s="15" t="inlineStr">
        <is>
          <t>Settled</t>
        </is>
      </c>
    </row>
    <row r="14">
      <c r="A14" s="7" t="inlineStr">
        <is>
          <t>CLM-SKT-2024-0509</t>
        </is>
      </c>
      <c r="B14" s="7" t="inlineStr">
        <is>
          <t>Sialkot</t>
        </is>
      </c>
      <c r="C14" s="7" t="inlineStr">
        <is>
          <t>Travel</t>
        </is>
      </c>
      <c r="D14" s="40" t="n">
        <v>45536</v>
      </c>
      <c r="E14" s="11" t="n">
        <v>245000</v>
      </c>
      <c r="F14" s="7" t="inlineStr">
        <is>
          <t>Repudiated</t>
        </is>
      </c>
    </row>
    <row r="15">
      <c r="A15" s="15" t="inlineStr">
        <is>
          <t>CLM-RWP-2024-0510</t>
        </is>
      </c>
      <c r="B15" s="15" t="inlineStr">
        <is>
          <t>Rawalpindi</t>
        </is>
      </c>
      <c r="C15" s="15" t="inlineStr">
        <is>
          <t>Motor</t>
        </is>
      </c>
      <c r="D15" s="41" t="n">
        <v>45495</v>
      </c>
      <c r="E15" s="14" t="n">
        <v>10182000</v>
      </c>
      <c r="F15" s="15" t="inlineStr">
        <is>
          <t>Under Survey</t>
        </is>
      </c>
    </row>
    <row r="16">
      <c r="A16" s="7" t="inlineStr">
        <is>
          <t>CLM-KHI-2024-0511</t>
        </is>
      </c>
      <c r="B16" s="7" t="inlineStr">
        <is>
          <t>Karachi Main</t>
        </is>
      </c>
      <c r="C16" s="7" t="inlineStr">
        <is>
          <t>Health</t>
        </is>
      </c>
      <c r="D16" s="40" t="n">
        <v>45747</v>
      </c>
      <c r="E16" s="11" t="n">
        <v>18655000</v>
      </c>
      <c r="F16" s="7" t="inlineStr">
        <is>
          <t>Settled</t>
        </is>
      </c>
    </row>
    <row r="17">
      <c r="A17" s="15" t="inlineStr">
        <is>
          <t>CLM-LHR-2024-0512</t>
        </is>
      </c>
      <c r="B17" s="15" t="inlineStr">
        <is>
          <t>Lahore Gulberg</t>
        </is>
      </c>
      <c r="C17" s="15" t="inlineStr">
        <is>
          <t>Miscellaneous</t>
        </is>
      </c>
      <c r="D17" s="41" t="n">
        <v>45529</v>
      </c>
      <c r="E17" s="14" t="n">
        <v>5214000</v>
      </c>
      <c r="F17" s="15" t="inlineStr">
        <is>
          <t>Repudiated</t>
        </is>
      </c>
    </row>
    <row r="18">
      <c r="A18" s="7" t="inlineStr">
        <is>
          <t>CLM-ISB-2024-0513</t>
        </is>
      </c>
      <c r="B18" s="7" t="inlineStr">
        <is>
          <t>Islamabad Blue Area</t>
        </is>
      </c>
      <c r="C18" s="7" t="inlineStr">
        <is>
          <t>Marine Cargo</t>
        </is>
      </c>
      <c r="D18" s="40" t="n">
        <v>45791</v>
      </c>
      <c r="E18" s="11" t="n">
        <v>18381000</v>
      </c>
      <c r="F18" s="7" t="inlineStr">
        <is>
          <t>Settled</t>
        </is>
      </c>
    </row>
    <row r="19">
      <c r="A19" s="15" t="inlineStr">
        <is>
          <t>CLM-FSD-2024-0514</t>
        </is>
      </c>
      <c r="B19" s="15" t="inlineStr">
        <is>
          <t>Faisalabad</t>
        </is>
      </c>
      <c r="C19" s="15" t="inlineStr">
        <is>
          <t>Engineering</t>
        </is>
      </c>
      <c r="D19" s="41" t="n">
        <v>45653</v>
      </c>
      <c r="E19" s="14" t="n">
        <v>7644000</v>
      </c>
      <c r="F19" s="15" t="inlineStr">
        <is>
          <t>Repudiated</t>
        </is>
      </c>
    </row>
    <row r="20">
      <c r="A20" s="7" t="inlineStr">
        <is>
          <t>CLM-MUL-2024-0515</t>
        </is>
      </c>
      <c r="B20" s="7" t="inlineStr">
        <is>
          <t>Multan</t>
        </is>
      </c>
      <c r="C20" s="7" t="inlineStr">
        <is>
          <t>Fire &amp; Property</t>
        </is>
      </c>
      <c r="D20" s="40" t="n">
        <v>45432</v>
      </c>
      <c r="E20" s="11" t="n">
        <v>3141000</v>
      </c>
      <c r="F20" s="7" t="inlineStr">
        <is>
          <t>Outstanding</t>
        </is>
      </c>
    </row>
    <row r="21">
      <c r="A21" s="15" t="inlineStr">
        <is>
          <t>CLM-PEW-2024-0516</t>
        </is>
      </c>
      <c r="B21" s="15" t="inlineStr">
        <is>
          <t>Peshawar</t>
        </is>
      </c>
      <c r="C21" s="15" t="inlineStr">
        <is>
          <t>Travel</t>
        </is>
      </c>
      <c r="D21" s="41" t="n">
        <v>45505</v>
      </c>
      <c r="E21" s="14" t="n">
        <v>162000</v>
      </c>
      <c r="F21" s="15" t="inlineStr">
        <is>
          <t>Repudiated</t>
        </is>
      </c>
    </row>
    <row r="22">
      <c r="A22" s="7" t="inlineStr">
        <is>
          <t>CLM-QTA-2024-0517</t>
        </is>
      </c>
      <c r="B22" s="7" t="inlineStr">
        <is>
          <t>Quetta</t>
        </is>
      </c>
      <c r="C22" s="7" t="inlineStr">
        <is>
          <t>Motor</t>
        </is>
      </c>
      <c r="D22" s="40" t="n">
        <v>45565</v>
      </c>
      <c r="E22" s="11" t="n">
        <v>7026000</v>
      </c>
      <c r="F22" s="7" t="inlineStr">
        <is>
          <t>Outstanding</t>
        </is>
      </c>
    </row>
    <row r="23">
      <c r="A23" s="15" t="inlineStr">
        <is>
          <t>CLM-HYD-2024-0518</t>
        </is>
      </c>
      <c r="B23" s="15" t="inlineStr">
        <is>
          <t>Hyderabad</t>
        </is>
      </c>
      <c r="C23" s="15" t="inlineStr">
        <is>
          <t>Health</t>
        </is>
      </c>
      <c r="D23" s="41" t="n">
        <v>45505</v>
      </c>
      <c r="E23" s="14" t="n">
        <v>1154000</v>
      </c>
      <c r="F23" s="15" t="inlineStr">
        <is>
          <t>Under Survey</t>
        </is>
      </c>
    </row>
    <row r="24">
      <c r="A24" s="7" t="inlineStr">
        <is>
          <t>CLM-SKT-2024-0519</t>
        </is>
      </c>
      <c r="B24" s="7" t="inlineStr">
        <is>
          <t>Sialkot</t>
        </is>
      </c>
      <c r="C24" s="7" t="inlineStr">
        <is>
          <t>Miscellaneous</t>
        </is>
      </c>
      <c r="D24" s="40" t="n">
        <v>45644</v>
      </c>
      <c r="E24" s="11" t="n">
        <v>11124000</v>
      </c>
      <c r="F24" s="7" t="inlineStr">
        <is>
          <t>Under Survey</t>
        </is>
      </c>
    </row>
    <row r="25">
      <c r="A25" s="15" t="inlineStr">
        <is>
          <t>CLM-RWP-2024-0520</t>
        </is>
      </c>
      <c r="B25" s="15" t="inlineStr">
        <is>
          <t>Rawalpindi</t>
        </is>
      </c>
      <c r="C25" s="15" t="inlineStr">
        <is>
          <t>Marine Cargo</t>
        </is>
      </c>
      <c r="D25" s="41" t="n">
        <v>45649</v>
      </c>
      <c r="E25" s="14" t="n">
        <v>404000</v>
      </c>
      <c r="F25" s="15" t="inlineStr">
        <is>
          <t>Under Survey</t>
        </is>
      </c>
    </row>
    <row r="26">
      <c r="A26" s="7" t="inlineStr">
        <is>
          <t>CLM-KHI-2024-0521</t>
        </is>
      </c>
      <c r="B26" s="7" t="inlineStr">
        <is>
          <t>Karachi Main</t>
        </is>
      </c>
      <c r="C26" s="7" t="inlineStr">
        <is>
          <t>Engineering</t>
        </is>
      </c>
      <c r="D26" s="40" t="n">
        <v>45663</v>
      </c>
      <c r="E26" s="11" t="n">
        <v>343000</v>
      </c>
      <c r="F26" s="7" t="inlineStr">
        <is>
          <t>Settled</t>
        </is>
      </c>
    </row>
    <row r="27">
      <c r="A27" s="15" t="inlineStr">
        <is>
          <t>CLM-LHR-2024-0522</t>
        </is>
      </c>
      <c r="B27" s="15" t="inlineStr">
        <is>
          <t>Lahore Gulberg</t>
        </is>
      </c>
      <c r="C27" s="15" t="inlineStr">
        <is>
          <t>Fire &amp; Property</t>
        </is>
      </c>
      <c r="D27" s="41" t="n">
        <v>45422</v>
      </c>
      <c r="E27" s="14" t="n">
        <v>2250000</v>
      </c>
      <c r="F27" s="15" t="inlineStr">
        <is>
          <t>Repudiated</t>
        </is>
      </c>
    </row>
    <row r="28">
      <c r="A28" s="7" t="inlineStr">
        <is>
          <t>CLM-ISB-2024-0523</t>
        </is>
      </c>
      <c r="B28" s="7" t="inlineStr">
        <is>
          <t>Islamabad Blue Area</t>
        </is>
      </c>
      <c r="C28" s="7" t="inlineStr">
        <is>
          <t>Travel</t>
        </is>
      </c>
      <c r="D28" s="40" t="n">
        <v>45539</v>
      </c>
      <c r="E28" s="11" t="n">
        <v>7727000</v>
      </c>
      <c r="F28" s="7" t="inlineStr">
        <is>
          <t>Settled</t>
        </is>
      </c>
    </row>
    <row r="29">
      <c r="A29" s="15" t="inlineStr">
        <is>
          <t>CLM-FSD-2024-0524</t>
        </is>
      </c>
      <c r="B29" s="15" t="inlineStr">
        <is>
          <t>Faisalabad</t>
        </is>
      </c>
      <c r="C29" s="15" t="inlineStr">
        <is>
          <t>Motor</t>
        </is>
      </c>
      <c r="D29" s="41" t="n">
        <v>45426</v>
      </c>
      <c r="E29" s="14" t="n">
        <v>12194000</v>
      </c>
      <c r="F29" s="15" t="inlineStr">
        <is>
          <t>Settled</t>
        </is>
      </c>
    </row>
    <row r="30">
      <c r="A30" s="7" t="inlineStr">
        <is>
          <t>CLM-MUL-2024-0525</t>
        </is>
      </c>
      <c r="B30" s="7" t="inlineStr">
        <is>
          <t>Multan</t>
        </is>
      </c>
      <c r="C30" s="7" t="inlineStr">
        <is>
          <t>Health</t>
        </is>
      </c>
      <c r="D30" s="40" t="n">
        <v>45660</v>
      </c>
      <c r="E30" s="11" t="n">
        <v>388000</v>
      </c>
      <c r="F30" s="7" t="inlineStr">
        <is>
          <t>Settled</t>
        </is>
      </c>
    </row>
    <row r="31">
      <c r="A31" s="15" t="inlineStr">
        <is>
          <t>CLM-PEW-2024-0526</t>
        </is>
      </c>
      <c r="B31" s="15" t="inlineStr">
        <is>
          <t>Peshawar</t>
        </is>
      </c>
      <c r="C31" s="15" t="inlineStr">
        <is>
          <t>Miscellaneous</t>
        </is>
      </c>
      <c r="D31" s="41" t="n">
        <v>45413</v>
      </c>
      <c r="E31" s="14" t="n">
        <v>1344000</v>
      </c>
      <c r="F31" s="15" t="inlineStr">
        <is>
          <t>Settled</t>
        </is>
      </c>
    </row>
    <row r="32">
      <c r="A32" s="7" t="inlineStr">
        <is>
          <t>CLM-QTA-2024-0527</t>
        </is>
      </c>
      <c r="B32" s="7" t="inlineStr">
        <is>
          <t>Quetta</t>
        </is>
      </c>
      <c r="C32" s="7" t="inlineStr">
        <is>
          <t>Marine Cargo</t>
        </is>
      </c>
      <c r="D32" s="40" t="n">
        <v>45829</v>
      </c>
      <c r="E32" s="11" t="n">
        <v>203000</v>
      </c>
      <c r="F32" s="7" t="inlineStr">
        <is>
          <t>Outstanding</t>
        </is>
      </c>
    </row>
    <row r="33">
      <c r="A33" s="15" t="inlineStr">
        <is>
          <t>CLM-HYD-2024-0528</t>
        </is>
      </c>
      <c r="B33" s="15" t="inlineStr">
        <is>
          <t>Hyderabad</t>
        </is>
      </c>
      <c r="C33" s="15" t="inlineStr">
        <is>
          <t>Engineering</t>
        </is>
      </c>
      <c r="D33" s="41" t="n">
        <v>45631</v>
      </c>
      <c r="E33" s="14" t="n">
        <v>162000</v>
      </c>
      <c r="F33" s="15" t="inlineStr">
        <is>
          <t>Settled</t>
        </is>
      </c>
    </row>
    <row r="34">
      <c r="A34" s="7" t="inlineStr">
        <is>
          <t>CLM-SKT-2024-0529</t>
        </is>
      </c>
      <c r="B34" s="7" t="inlineStr">
        <is>
          <t>Sialkot</t>
        </is>
      </c>
      <c r="C34" s="7" t="inlineStr">
        <is>
          <t>Fire &amp; Property</t>
        </is>
      </c>
      <c r="D34" s="40" t="n">
        <v>45678</v>
      </c>
      <c r="E34" s="11" t="n">
        <v>11988000</v>
      </c>
      <c r="F34" s="7" t="inlineStr">
        <is>
          <t>Repudiated</t>
        </is>
      </c>
    </row>
    <row r="35">
      <c r="A35" s="15" t="inlineStr">
        <is>
          <t>CLM-RWP-2024-0530</t>
        </is>
      </c>
      <c r="B35" s="15" t="inlineStr">
        <is>
          <t>Rawalpindi</t>
        </is>
      </c>
      <c r="C35" s="15" t="inlineStr">
        <is>
          <t>Travel</t>
        </is>
      </c>
      <c r="D35" s="41" t="n">
        <v>45370</v>
      </c>
      <c r="E35" s="14" t="n">
        <v>5330000</v>
      </c>
      <c r="F35" s="15" t="inlineStr">
        <is>
          <t>Repudiated</t>
        </is>
      </c>
    </row>
    <row r="37">
      <c r="A37" s="9" t="inlineStr">
        <is>
          <t>Table B — Week numbering convention</t>
        </is>
      </c>
    </row>
    <row r="38" ht="30" customHeight="1">
      <c r="A38" s="10" t="inlineStr">
        <is>
          <t>Convention</t>
        </is>
      </c>
      <c r="B38" s="10" t="inlineStr">
        <is>
          <t>return_type argument</t>
        </is>
      </c>
      <c r="C38" s="10" t="inlineStr">
        <is>
          <t>Used by</t>
        </is>
      </c>
    </row>
    <row r="39">
      <c r="A39" s="7" t="inlineStr">
        <is>
          <t>Week begins Sunday</t>
        </is>
      </c>
      <c r="B39" s="43" t="n">
        <v>1</v>
      </c>
      <c r="C39" s="7" t="inlineStr">
        <is>
          <t>Default Excel / US convention</t>
        </is>
      </c>
    </row>
    <row r="40">
      <c r="A40" s="15" t="inlineStr">
        <is>
          <t>Week begins Monday</t>
        </is>
      </c>
      <c r="B40" s="42" t="n">
        <v>2</v>
      </c>
      <c r="C40" s="15" t="inlineStr">
        <is>
          <t>Adamjee MIS standard</t>
        </is>
      </c>
    </row>
    <row r="41">
      <c r="A41" s="7" t="inlineStr">
        <is>
          <t>ISO 8601 week</t>
        </is>
      </c>
      <c r="B41" s="43" t="n">
        <v>21</v>
      </c>
      <c r="C41" s="7" t="inlineStr">
        <is>
          <t>Reinsurance treaty reporting</t>
        </is>
      </c>
    </row>
    <row r="43">
      <c r="A4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33.xml><?xml version="1.0" encoding="utf-8"?>
<worksheet xmlns="http://schemas.openxmlformats.org/spreadsheetml/2006/main">
  <sheetPr>
    <tabColor rgb="00C00000"/>
    <outlinePr summaryBelow="1" summaryRight="1"/>
    <pageSetUpPr/>
  </sheetPr>
  <dimension ref="A1:L51"/>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Convention reconciliation for the reinsurance treaty return</t>
        </is>
      </c>
    </row>
    <row r="3">
      <c r="A3" s="21" t="inlineStr">
        <is>
          <t>Prepared for:</t>
        </is>
      </c>
      <c r="B3" s="22" t="inlineStr">
        <is>
          <t>Head of Reinsurance</t>
        </is>
      </c>
    </row>
    <row r="4">
      <c r="A4" s="21" t="inlineStr">
        <is>
          <t>Prepared by:</t>
        </is>
      </c>
      <c r="B4" s="23" t="n"/>
    </row>
    <row r="5">
      <c r="A5" s="21" t="inlineStr">
        <is>
          <t>Reporting date:</t>
        </is>
      </c>
      <c r="B5" s="22" t="inlineStr">
        <is>
          <t>As at reporting date shown on the dataset</t>
        </is>
      </c>
    </row>
    <row r="7" ht="44" customHeight="1">
      <c r="A7" s="24" t="inlineStr">
        <is>
          <t>The treaty return to the reinsurer must use ISO 8601 weeks. Adamjee MIS uses Monday-start weeks and the default Excel export uses Sunday-start. Three claims fell into a different week in each version last quarter and the reinsurer queried the return.</t>
        </is>
      </c>
    </row>
    <row r="9">
      <c r="A9" s="25" t="inlineStr">
        <is>
          <t>Source data: '1.16 Data'  (click to open)</t>
        </is>
      </c>
    </row>
    <row r="11" ht="16" customHeight="1">
      <c r="A11" s="26" t="inlineStr">
        <is>
          <t>Navy headers below = data linked live from the dataset sheet.   Gold headers = blank — build your formula here.</t>
        </is>
      </c>
    </row>
    <row r="12" ht="30" customHeight="1">
      <c r="A12" s="10" t="inlineStr">
        <is>
          <t>Claim No</t>
        </is>
      </c>
      <c r="B12" s="10" t="inlineStr">
        <is>
          <t>Intimation Date</t>
        </is>
      </c>
      <c r="C12" s="27" t="inlineStr">
        <is>
          <t>Week (Sunday convention)</t>
        </is>
      </c>
      <c r="D12" s="27" t="inlineStr">
        <is>
          <t>Week (Monday convention)</t>
        </is>
      </c>
      <c r="E12" s="27" t="inlineStr">
        <is>
          <t>Week (ISO 8601)</t>
        </is>
      </c>
      <c r="F12" s="27" t="inlineStr">
        <is>
          <t>Flag where the three disagree</t>
        </is>
      </c>
    </row>
    <row r="13">
      <c r="A13" s="7">
        <f>'1.16 Data'!A6</f>
        <v/>
      </c>
      <c r="B13" s="40">
        <f>'1.16 Data'!D6</f>
        <v/>
      </c>
      <c r="C13" s="28" t="n"/>
      <c r="D13" s="28" t="n"/>
      <c r="E13" s="28" t="n"/>
      <c r="F13" s="28" t="n"/>
    </row>
    <row r="14">
      <c r="A14" s="15">
        <f>'1.16 Data'!A7</f>
        <v/>
      </c>
      <c r="B14" s="41">
        <f>'1.16 Data'!D7</f>
        <v/>
      </c>
      <c r="C14" s="28" t="n"/>
      <c r="D14" s="28" t="n"/>
      <c r="E14" s="28" t="n"/>
      <c r="F14" s="28" t="n"/>
    </row>
    <row r="15">
      <c r="A15" s="7">
        <f>'1.16 Data'!A8</f>
        <v/>
      </c>
      <c r="B15" s="40">
        <f>'1.16 Data'!D8</f>
        <v/>
      </c>
      <c r="C15" s="28" t="n"/>
      <c r="D15" s="28" t="n"/>
      <c r="E15" s="28" t="n"/>
      <c r="F15" s="28" t="n"/>
    </row>
    <row r="16">
      <c r="A16" s="15">
        <f>'1.16 Data'!A9</f>
        <v/>
      </c>
      <c r="B16" s="41">
        <f>'1.16 Data'!D9</f>
        <v/>
      </c>
      <c r="C16" s="28" t="n"/>
      <c r="D16" s="28" t="n"/>
      <c r="E16" s="28" t="n"/>
      <c r="F16" s="28" t="n"/>
    </row>
    <row r="17">
      <c r="A17" s="7">
        <f>'1.16 Data'!A10</f>
        <v/>
      </c>
      <c r="B17" s="40">
        <f>'1.16 Data'!D10</f>
        <v/>
      </c>
      <c r="C17" s="28" t="n"/>
      <c r="D17" s="28" t="n"/>
      <c r="E17" s="28" t="n"/>
      <c r="F17" s="28" t="n"/>
    </row>
    <row r="18">
      <c r="A18" s="15">
        <f>'1.16 Data'!A11</f>
        <v/>
      </c>
      <c r="B18" s="41">
        <f>'1.16 Data'!D11</f>
        <v/>
      </c>
      <c r="C18" s="28" t="n"/>
      <c r="D18" s="28" t="n"/>
      <c r="E18" s="28" t="n"/>
      <c r="F18" s="28" t="n"/>
    </row>
    <row r="19">
      <c r="A19" s="7">
        <f>'1.16 Data'!A12</f>
        <v/>
      </c>
      <c r="B19" s="40">
        <f>'1.16 Data'!D12</f>
        <v/>
      </c>
      <c r="C19" s="28" t="n"/>
      <c r="D19" s="28" t="n"/>
      <c r="E19" s="28" t="n"/>
      <c r="F19" s="28" t="n"/>
    </row>
    <row r="20">
      <c r="A20" s="15">
        <f>'1.16 Data'!A13</f>
        <v/>
      </c>
      <c r="B20" s="41">
        <f>'1.16 Data'!D13</f>
        <v/>
      </c>
      <c r="C20" s="28" t="n"/>
      <c r="D20" s="28" t="n"/>
      <c r="E20" s="28" t="n"/>
      <c r="F20" s="28" t="n"/>
    </row>
    <row r="21">
      <c r="A21" s="7">
        <f>'1.16 Data'!A14</f>
        <v/>
      </c>
      <c r="B21" s="40">
        <f>'1.16 Data'!D14</f>
        <v/>
      </c>
      <c r="C21" s="28" t="n"/>
      <c r="D21" s="28" t="n"/>
      <c r="E21" s="28" t="n"/>
      <c r="F21" s="28" t="n"/>
    </row>
    <row r="22">
      <c r="A22" s="15">
        <f>'1.16 Data'!A15</f>
        <v/>
      </c>
      <c r="B22" s="41">
        <f>'1.16 Data'!D15</f>
        <v/>
      </c>
      <c r="C22" s="28" t="n"/>
      <c r="D22" s="28" t="n"/>
      <c r="E22" s="28" t="n"/>
      <c r="F22" s="28" t="n"/>
    </row>
    <row r="23">
      <c r="A23" s="7">
        <f>'1.16 Data'!A16</f>
        <v/>
      </c>
      <c r="B23" s="40">
        <f>'1.16 Data'!D16</f>
        <v/>
      </c>
      <c r="C23" s="28" t="n"/>
      <c r="D23" s="28" t="n"/>
      <c r="E23" s="28" t="n"/>
      <c r="F23" s="28" t="n"/>
    </row>
    <row r="24">
      <c r="A24" s="15">
        <f>'1.16 Data'!A17</f>
        <v/>
      </c>
      <c r="B24" s="41">
        <f>'1.16 Data'!D17</f>
        <v/>
      </c>
      <c r="C24" s="28" t="n"/>
      <c r="D24" s="28" t="n"/>
      <c r="E24" s="28" t="n"/>
      <c r="F24" s="28" t="n"/>
    </row>
    <row r="25">
      <c r="A25" s="7">
        <f>'1.16 Data'!A18</f>
        <v/>
      </c>
      <c r="B25" s="40">
        <f>'1.16 Data'!D18</f>
        <v/>
      </c>
      <c r="C25" s="28" t="n"/>
      <c r="D25" s="28" t="n"/>
      <c r="E25" s="28" t="n"/>
      <c r="F25" s="28" t="n"/>
    </row>
    <row r="26">
      <c r="A26" s="15">
        <f>'1.16 Data'!A19</f>
        <v/>
      </c>
      <c r="B26" s="41">
        <f>'1.16 Data'!D19</f>
        <v/>
      </c>
      <c r="C26" s="28" t="n"/>
      <c r="D26" s="28" t="n"/>
      <c r="E26" s="28" t="n"/>
      <c r="F26" s="28" t="n"/>
    </row>
    <row r="27">
      <c r="A27" s="7">
        <f>'1.16 Data'!A20</f>
        <v/>
      </c>
      <c r="B27" s="40">
        <f>'1.16 Data'!D20</f>
        <v/>
      </c>
      <c r="C27" s="28" t="n"/>
      <c r="D27" s="28" t="n"/>
      <c r="E27" s="28" t="n"/>
      <c r="F27" s="28" t="n"/>
    </row>
    <row r="28">
      <c r="A28" s="15">
        <f>'1.16 Data'!A21</f>
        <v/>
      </c>
      <c r="B28" s="41">
        <f>'1.16 Data'!D21</f>
        <v/>
      </c>
      <c r="C28" s="28" t="n"/>
      <c r="D28" s="28" t="n"/>
      <c r="E28" s="28" t="n"/>
      <c r="F28" s="28" t="n"/>
    </row>
    <row r="29">
      <c r="A29" s="7">
        <f>'1.16 Data'!A22</f>
        <v/>
      </c>
      <c r="B29" s="40">
        <f>'1.16 Data'!D22</f>
        <v/>
      </c>
      <c r="C29" s="28" t="n"/>
      <c r="D29" s="28" t="n"/>
      <c r="E29" s="28" t="n"/>
      <c r="F29" s="28" t="n"/>
    </row>
    <row r="30">
      <c r="A30" s="15">
        <f>'1.16 Data'!A23</f>
        <v/>
      </c>
      <c r="B30" s="41">
        <f>'1.16 Data'!D23</f>
        <v/>
      </c>
      <c r="C30" s="28" t="n"/>
      <c r="D30" s="28" t="n"/>
      <c r="E30" s="28" t="n"/>
      <c r="F30" s="28" t="n"/>
    </row>
    <row r="31">
      <c r="A31" s="7">
        <f>'1.16 Data'!A24</f>
        <v/>
      </c>
      <c r="B31" s="40">
        <f>'1.16 Data'!D24</f>
        <v/>
      </c>
      <c r="C31" s="28" t="n"/>
      <c r="D31" s="28" t="n"/>
      <c r="E31" s="28" t="n"/>
      <c r="F31" s="28" t="n"/>
    </row>
    <row r="32">
      <c r="A32" s="15">
        <f>'1.16 Data'!A25</f>
        <v/>
      </c>
      <c r="B32" s="41">
        <f>'1.16 Data'!D25</f>
        <v/>
      </c>
      <c r="C32" s="28" t="n"/>
      <c r="D32" s="28" t="n"/>
      <c r="E32" s="28" t="n"/>
      <c r="F32" s="28" t="n"/>
    </row>
    <row r="33">
      <c r="A33" s="7">
        <f>'1.16 Data'!A26</f>
        <v/>
      </c>
      <c r="B33" s="40">
        <f>'1.16 Data'!D26</f>
        <v/>
      </c>
      <c r="C33" s="28" t="n"/>
      <c r="D33" s="28" t="n"/>
      <c r="E33" s="28" t="n"/>
      <c r="F33" s="28" t="n"/>
    </row>
    <row r="34">
      <c r="A34" s="15">
        <f>'1.16 Data'!A27</f>
        <v/>
      </c>
      <c r="B34" s="41">
        <f>'1.16 Data'!D27</f>
        <v/>
      </c>
      <c r="C34" s="28" t="n"/>
      <c r="D34" s="28" t="n"/>
      <c r="E34" s="28" t="n"/>
      <c r="F34" s="28" t="n"/>
    </row>
    <row r="35">
      <c r="A35" s="7">
        <f>'1.16 Data'!A28</f>
        <v/>
      </c>
      <c r="B35" s="40">
        <f>'1.16 Data'!D28</f>
        <v/>
      </c>
      <c r="C35" s="28" t="n"/>
      <c r="D35" s="28" t="n"/>
      <c r="E35" s="28" t="n"/>
      <c r="F35" s="28" t="n"/>
    </row>
    <row r="36">
      <c r="A36" s="15">
        <f>'1.16 Data'!A29</f>
        <v/>
      </c>
      <c r="B36" s="41">
        <f>'1.16 Data'!D29</f>
        <v/>
      </c>
      <c r="C36" s="28" t="n"/>
      <c r="D36" s="28" t="n"/>
      <c r="E36" s="28" t="n"/>
      <c r="F36" s="28" t="n"/>
    </row>
    <row r="37">
      <c r="A37" s="7">
        <f>'1.16 Data'!A30</f>
        <v/>
      </c>
      <c r="B37" s="40">
        <f>'1.16 Data'!D30</f>
        <v/>
      </c>
      <c r="C37" s="28" t="n"/>
      <c r="D37" s="28" t="n"/>
      <c r="E37" s="28" t="n"/>
      <c r="F37" s="28" t="n"/>
    </row>
    <row r="38">
      <c r="A38" s="15">
        <f>'1.16 Data'!A31</f>
        <v/>
      </c>
      <c r="B38" s="41">
        <f>'1.16 Data'!D31</f>
        <v/>
      </c>
      <c r="C38" s="28" t="n"/>
      <c r="D38" s="28" t="n"/>
      <c r="E38" s="28" t="n"/>
      <c r="F38" s="28" t="n"/>
    </row>
    <row r="39">
      <c r="A39" s="7">
        <f>'1.16 Data'!A32</f>
        <v/>
      </c>
      <c r="B39" s="40">
        <f>'1.16 Data'!D32</f>
        <v/>
      </c>
      <c r="C39" s="28" t="n"/>
      <c r="D39" s="28" t="n"/>
      <c r="E39" s="28" t="n"/>
      <c r="F39" s="28" t="n"/>
    </row>
    <row r="40">
      <c r="A40" s="15">
        <f>'1.16 Data'!A33</f>
        <v/>
      </c>
      <c r="B40" s="41">
        <f>'1.16 Data'!D33</f>
        <v/>
      </c>
      <c r="C40" s="28" t="n"/>
      <c r="D40" s="28" t="n"/>
      <c r="E40" s="28" t="n"/>
      <c r="F40" s="28" t="n"/>
    </row>
    <row r="41">
      <c r="A41" s="7">
        <f>'1.16 Data'!A34</f>
        <v/>
      </c>
      <c r="B41" s="40">
        <f>'1.16 Data'!D34</f>
        <v/>
      </c>
      <c r="C41" s="28" t="n"/>
      <c r="D41" s="28" t="n"/>
      <c r="E41" s="28" t="n"/>
      <c r="F41" s="28" t="n"/>
    </row>
    <row r="42">
      <c r="A42" s="15">
        <f>'1.16 Data'!A35</f>
        <v/>
      </c>
      <c r="B42" s="41">
        <f>'1.16 Data'!D35</f>
        <v/>
      </c>
      <c r="C42" s="28" t="n"/>
      <c r="D42" s="28" t="n"/>
      <c r="E42" s="28" t="n"/>
      <c r="F42" s="28" t="n"/>
    </row>
    <row r="43">
      <c r="A43" s="29" t="inlineStr">
        <is>
          <t>TOTAL / RESULT</t>
        </is>
      </c>
      <c r="B43" s="30" t="n"/>
      <c r="C43" s="31" t="n"/>
      <c r="D43" s="31" t="n"/>
      <c r="E43" s="31" t="n"/>
      <c r="F43" s="31" t="n"/>
    </row>
    <row r="45" ht="32" customHeight="1">
      <c r="A45"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47" ht="19" customHeight="1">
      <c r="A47" s="33" t="inlineStr">
        <is>
          <t>FURTHER REQUESTS ON THIS DATASET</t>
        </is>
      </c>
    </row>
    <row r="48" ht="20" customHeight="1">
      <c r="A48" s="34" t="inlineStr">
        <is>
          <t>#</t>
        </is>
      </c>
      <c r="B48" s="34" t="inlineStr">
        <is>
          <t>Request</t>
        </is>
      </c>
      <c r="C48" s="34" t="inlineStr">
        <is>
          <t>Requested by</t>
        </is>
      </c>
      <c r="D48" s="34" t="inlineStr">
        <is>
          <t>Report / figure required</t>
        </is>
      </c>
      <c r="E48" s="34" t="inlineStr">
        <is>
          <t>Your formula or answer</t>
        </is>
      </c>
    </row>
    <row r="49" ht="65" customHeight="1">
      <c r="A49" s="35" t="n">
        <v>1</v>
      </c>
      <c r="B49" s="36" t="inlineStr">
        <is>
          <t>Weekly Claims Intimation Trend</t>
        </is>
      </c>
      <c r="C49" s="37" t="inlineStr">
        <is>
          <t>Manager, Motor Claims</t>
        </is>
      </c>
      <c r="D49" s="38" t="inlineStr">
        <is>
          <t>A weekly trend table: Week Number | Week label (2024-W28 format) | Claims Intimated | Total Claimed Amount | Average Claim Size. Sorted by week, with the peak week highlighted.</t>
        </is>
      </c>
      <c r="E49" s="39" t="n"/>
    </row>
    <row r="50" ht="65" customHeight="1">
      <c r="A50" s="35" t="n">
        <v>2</v>
      </c>
      <c r="B50" s="36" t="inlineStr">
        <is>
          <t>Surveyor capacity plan for the top three weeks</t>
        </is>
      </c>
      <c r="C50" s="37" t="inlineStr">
        <is>
          <t>Head of Claims Operations</t>
        </is>
      </c>
      <c r="D50" s="38" t="inlineStr">
        <is>
          <t>A capacity note: the top three weeks by total claimed amount, each with week label, claim count, total claimed, and a one-line recommendation on surveyor capacity for those weeks.</t>
        </is>
      </c>
      <c r="E50" s="39" t="n"/>
    </row>
    <row r="51" ht="65" customHeight="1">
      <c r="A51" s="35" t="n">
        <v>3</v>
      </c>
      <c r="B51" s="36" t="inlineStr">
        <is>
          <t>Method note for the Claims Manager</t>
        </is>
      </c>
      <c r="C51" s="37" t="inlineStr">
        <is>
          <t>Manager, Motor Claims</t>
        </is>
      </c>
      <c r="D51" s="38" t="inlineStr">
        <is>
          <t>A three-line note comparing weekly and monthly bucketing for claims analysis, using a specific example from the data where the monthly view hid something the weekly view showed.</t>
        </is>
      </c>
      <c r="E51" s="39" t="n"/>
    </row>
  </sheetData>
  <mergeCells count="6">
    <mergeCell ref="A2:L2"/>
    <mergeCell ref="A11:F11"/>
    <mergeCell ref="A47:F47"/>
    <mergeCell ref="A45:F45"/>
    <mergeCell ref="A7:K7"/>
    <mergeCell ref="A1:L1"/>
  </mergeCells>
  <hyperlinks>
    <hyperlink xmlns:r="http://schemas.openxmlformats.org/officeDocument/2006/relationships" ref="A9" r:id="rId1"/>
  </hyperlinks>
  <pageMargins left="0.75" right="0.75" top="1" bottom="1" header="0.5" footer="0.5"/>
</worksheet>
</file>

<file path=xl/worksheets/sheet34.xml><?xml version="1.0" encoding="utf-8"?>
<worksheet xmlns="http://schemas.openxmlformats.org/spreadsheetml/2006/main">
  <sheetPr>
    <tabColor rgb="001F3864"/>
    <outlinePr summaryBelow="1" summaryRight="1"/>
    <pageSetUpPr/>
  </sheetPr>
  <dimension ref="A1:H43"/>
  <sheetViews>
    <sheetView showGridLines="0" workbookViewId="0">
      <pane ySplit="5" topLeftCell="A6" activePane="bottomLeft" state="frozen"/>
      <selection pane="bottomLeft" activeCell="A1" sqref="A1"/>
    </sheetView>
  </sheetViews>
  <sheetFormatPr baseColWidth="8" defaultRowHeight="15"/>
  <cols>
    <col width="26" customWidth="1" min="1" max="1"/>
    <col width="16" customWidth="1" min="2" max="2"/>
    <col width="20" customWidth="1" min="3" max="3"/>
    <col width="18" customWidth="1" min="4" max="4"/>
    <col width="16" customWidth="1" min="5" max="5"/>
    <col width="14" customWidth="1" min="6" max="6"/>
    <col width="20" customWidth="1" min="7" max="7"/>
    <col width="16" customWidth="1" min="8" max="8"/>
  </cols>
  <sheetData>
    <row r="1" ht="26" customHeight="1">
      <c r="A1" s="1" t="inlineStr">
        <is>
          <t>Dataset 1.17  —  Complex Date Calculations for Policy Lifecycle and Renewal Tracking</t>
        </is>
      </c>
    </row>
    <row r="2" ht="16" customHeight="1">
      <c r="A2" s="2" t="inlineStr">
        <is>
          <t>Session 1: Advanced Lookup, Text &amp; Date Functions | Part C: Advanced Date Functions   |   Adamjee Assurance Company Limited (Pakistan) — training data, figures in PKR</t>
        </is>
      </c>
    </row>
    <row r="4">
      <c r="A4" s="9" t="inlineStr">
        <is>
          <t>Table A — In-force policy register</t>
        </is>
      </c>
    </row>
    <row r="5" ht="30" customHeight="1">
      <c r="A5" s="10" t="inlineStr">
        <is>
          <t>Policy No</t>
        </is>
      </c>
      <c r="B5" s="10" t="inlineStr">
        <is>
          <t>Client Name</t>
        </is>
      </c>
      <c r="C5" s="10" t="inlineStr">
        <is>
          <t>Branch</t>
        </is>
      </c>
      <c r="D5" s="10" t="inlineStr">
        <is>
          <t>Product</t>
        </is>
      </c>
      <c r="E5" s="10" t="inlineStr">
        <is>
          <t>Inception Date</t>
        </is>
      </c>
      <c r="F5" s="10" t="inlineStr">
        <is>
          <t>Term (Months)</t>
        </is>
      </c>
      <c r="G5" s="10" t="inlineStr">
        <is>
          <t>Gross Premium (PKR)</t>
        </is>
      </c>
      <c r="H5" s="10" t="inlineStr">
        <is>
          <t>Auto-Renew Flag</t>
        </is>
      </c>
    </row>
    <row r="6">
      <c r="A6" s="7" t="inlineStr">
        <is>
          <t>ADM-FIR-KHI-2024-1001</t>
        </is>
      </c>
      <c r="B6" s="7" t="inlineStr">
        <is>
          <t>Gul Ahmed Textile Mills Ltd</t>
        </is>
      </c>
      <c r="C6" s="7" t="inlineStr">
        <is>
          <t>Karachi Main</t>
        </is>
      </c>
      <c r="D6" s="7" t="inlineStr">
        <is>
          <t>Fire &amp; Property</t>
        </is>
      </c>
      <c r="E6" s="40" t="n">
        <v>44941</v>
      </c>
      <c r="F6" s="11" t="n">
        <v>12</v>
      </c>
      <c r="G6" s="11" t="n">
        <v>96000</v>
      </c>
      <c r="H6" s="7" t="inlineStr">
        <is>
          <t>No</t>
        </is>
      </c>
    </row>
    <row r="7">
      <c r="A7" s="15" t="inlineStr">
        <is>
          <t>ADM-TRV-LHR-2024-1002</t>
        </is>
      </c>
      <c r="B7" s="15" t="inlineStr">
        <is>
          <t>Packages Limited</t>
        </is>
      </c>
      <c r="C7" s="15" t="inlineStr">
        <is>
          <t>Lahore Gulberg</t>
        </is>
      </c>
      <c r="D7" s="15" t="inlineStr">
        <is>
          <t>Travel</t>
        </is>
      </c>
      <c r="E7" s="41" t="n">
        <v>45026</v>
      </c>
      <c r="F7" s="14" t="n">
        <v>12</v>
      </c>
      <c r="G7" s="14" t="n">
        <v>201000</v>
      </c>
      <c r="H7" s="15" t="inlineStr">
        <is>
          <t>Yes</t>
        </is>
      </c>
    </row>
    <row r="8">
      <c r="A8" s="7" t="inlineStr">
        <is>
          <t>ADM-MTR-ISB-2024-1003</t>
        </is>
      </c>
      <c r="B8" s="7" t="inlineStr">
        <is>
          <t>Bilal Ahmed Khan</t>
        </is>
      </c>
      <c r="C8" s="7" t="inlineStr">
        <is>
          <t>Islamabad Blue Area</t>
        </is>
      </c>
      <c r="D8" s="7" t="inlineStr">
        <is>
          <t>Motor</t>
        </is>
      </c>
      <c r="E8" s="40" t="n">
        <v>45099</v>
      </c>
      <c r="F8" s="11" t="n">
        <v>12</v>
      </c>
      <c r="G8" s="11" t="n">
        <v>1397000</v>
      </c>
      <c r="H8" s="7" t="inlineStr">
        <is>
          <t>Yes</t>
        </is>
      </c>
    </row>
    <row r="9">
      <c r="A9" s="15" t="inlineStr">
        <is>
          <t>ADM-HLT-FSD-2024-1004</t>
        </is>
      </c>
      <c r="B9" s="15" t="inlineStr">
        <is>
          <t>Attock Refinery Limited</t>
        </is>
      </c>
      <c r="C9" s="15" t="inlineStr">
        <is>
          <t>Faisalabad</t>
        </is>
      </c>
      <c r="D9" s="15" t="inlineStr">
        <is>
          <t>Health</t>
        </is>
      </c>
      <c r="E9" s="41" t="n">
        <v>45204</v>
      </c>
      <c r="F9" s="14" t="n">
        <v>12</v>
      </c>
      <c r="G9" s="14" t="n">
        <v>305000</v>
      </c>
      <c r="H9" s="15" t="inlineStr">
        <is>
          <t>No</t>
        </is>
      </c>
    </row>
    <row r="10">
      <c r="A10" s="7" t="inlineStr">
        <is>
          <t>ADM-MSC-MUL-2024-1005</t>
        </is>
      </c>
      <c r="B10" s="7" t="inlineStr">
        <is>
          <t>Descon Engineering Ltd</t>
        </is>
      </c>
      <c r="C10" s="7" t="inlineStr">
        <is>
          <t>Multan</t>
        </is>
      </c>
      <c r="D10" s="7" t="inlineStr">
        <is>
          <t>Miscellaneous</t>
        </is>
      </c>
      <c r="E10" s="40" t="n">
        <v>45235</v>
      </c>
      <c r="F10" s="11" t="n">
        <v>12</v>
      </c>
      <c r="G10" s="11" t="n">
        <v>75000</v>
      </c>
      <c r="H10" s="7" t="inlineStr">
        <is>
          <t>Yes</t>
        </is>
      </c>
    </row>
    <row r="11">
      <c r="A11" s="15" t="inlineStr">
        <is>
          <t>ADM-MAR-PEW-2024-1006</t>
        </is>
      </c>
      <c r="B11" s="15" t="inlineStr">
        <is>
          <t>Hina Farooq</t>
        </is>
      </c>
      <c r="C11" s="15" t="inlineStr">
        <is>
          <t>Peshawar</t>
        </is>
      </c>
      <c r="D11" s="15" t="inlineStr">
        <is>
          <t>Marine Cargo</t>
        </is>
      </c>
      <c r="E11" s="41" t="n">
        <v>45245</v>
      </c>
      <c r="F11" s="14" t="n">
        <v>12</v>
      </c>
      <c r="G11" s="14" t="n">
        <v>380000</v>
      </c>
      <c r="H11" s="15" t="inlineStr">
        <is>
          <t>Yes</t>
        </is>
      </c>
    </row>
    <row r="12">
      <c r="A12" s="7" t="inlineStr">
        <is>
          <t>ADM-ENG-QTA-2024-1007</t>
        </is>
      </c>
      <c r="B12" s="7" t="inlineStr">
        <is>
          <t>Indus Motor Company Ltd</t>
        </is>
      </c>
      <c r="C12" s="7" t="inlineStr">
        <is>
          <t>Quetta</t>
        </is>
      </c>
      <c r="D12" s="7" t="inlineStr">
        <is>
          <t>Engineering</t>
        </is>
      </c>
      <c r="E12" s="40" t="n">
        <v>45263</v>
      </c>
      <c r="F12" s="11" t="n">
        <v>12</v>
      </c>
      <c r="G12" s="11" t="n">
        <v>227000</v>
      </c>
      <c r="H12" s="7" t="inlineStr">
        <is>
          <t>No</t>
        </is>
      </c>
    </row>
    <row r="13">
      <c r="A13" s="15" t="inlineStr">
        <is>
          <t>ADM-FIR-HYD-2024-1008</t>
        </is>
      </c>
      <c r="B13" s="15" t="inlineStr">
        <is>
          <t>Nishat Mills Limited</t>
        </is>
      </c>
      <c r="C13" s="15" t="inlineStr">
        <is>
          <t>Hyderabad</t>
        </is>
      </c>
      <c r="D13" s="15" t="inlineStr">
        <is>
          <t>Fire &amp; Property</t>
        </is>
      </c>
      <c r="E13" s="41" t="n">
        <v>45275</v>
      </c>
      <c r="F13" s="14" t="n">
        <v>12</v>
      </c>
      <c r="G13" s="14" t="n">
        <v>290000</v>
      </c>
      <c r="H13" s="15" t="inlineStr">
        <is>
          <t>Yes</t>
        </is>
      </c>
    </row>
    <row r="14">
      <c r="A14" s="7" t="inlineStr">
        <is>
          <t>ADM-TRV-SKT-2024-1009</t>
        </is>
      </c>
      <c r="B14" s="7" t="inlineStr">
        <is>
          <t>Imran Aslam Sheikh</t>
        </is>
      </c>
      <c r="C14" s="7" t="inlineStr">
        <is>
          <t>Sialkot</t>
        </is>
      </c>
      <c r="D14" s="7" t="inlineStr">
        <is>
          <t>Travel</t>
        </is>
      </c>
      <c r="E14" s="40" t="n">
        <v>45288</v>
      </c>
      <c r="F14" s="11" t="n">
        <v>12</v>
      </c>
      <c r="G14" s="11" t="n">
        <v>37000</v>
      </c>
      <c r="H14" s="7" t="inlineStr">
        <is>
          <t>Yes</t>
        </is>
      </c>
    </row>
    <row r="15">
      <c r="A15" s="15" t="inlineStr">
        <is>
          <t>ADM-MTR-RWP-2024-1010</t>
        </is>
      </c>
      <c r="B15" s="15" t="inlineStr">
        <is>
          <t>Engro Polymer &amp; Chemicals</t>
        </is>
      </c>
      <c r="C15" s="15" t="inlineStr">
        <is>
          <t>Rawalpindi</t>
        </is>
      </c>
      <c r="D15" s="15" t="inlineStr">
        <is>
          <t>Motor</t>
        </is>
      </c>
      <c r="E15" s="41" t="n">
        <v>45424</v>
      </c>
      <c r="F15" s="14" t="n">
        <v>12</v>
      </c>
      <c r="G15" s="14" t="n">
        <v>760000</v>
      </c>
      <c r="H15" s="15" t="inlineStr">
        <is>
          <t>No</t>
        </is>
      </c>
    </row>
    <row r="16">
      <c r="A16" s="7" t="inlineStr">
        <is>
          <t>ADM-HLT-KHI-2024-1011</t>
        </is>
      </c>
      <c r="B16" s="7" t="inlineStr">
        <is>
          <t>Interloop Limited</t>
        </is>
      </c>
      <c r="C16" s="7" t="inlineStr">
        <is>
          <t>Karachi Main</t>
        </is>
      </c>
      <c r="D16" s="7" t="inlineStr">
        <is>
          <t>Health</t>
        </is>
      </c>
      <c r="E16" s="40" t="n">
        <v>45507</v>
      </c>
      <c r="F16" s="11" t="n">
        <v>12</v>
      </c>
      <c r="G16" s="11" t="n">
        <v>603000</v>
      </c>
      <c r="H16" s="7" t="inlineStr">
        <is>
          <t>Yes</t>
        </is>
      </c>
    </row>
    <row r="17">
      <c r="A17" s="15" t="inlineStr">
        <is>
          <t>ADM-MSC-LHR-2024-1012</t>
        </is>
      </c>
      <c r="B17" s="15" t="inlineStr">
        <is>
          <t>Mehwish Anwar</t>
        </is>
      </c>
      <c r="C17" s="15" t="inlineStr">
        <is>
          <t>Lahore Gulberg</t>
        </is>
      </c>
      <c r="D17" s="15" t="inlineStr">
        <is>
          <t>Miscellaneous</t>
        </is>
      </c>
      <c r="E17" s="41" t="n">
        <v>45412</v>
      </c>
      <c r="F17" s="14" t="n">
        <v>12</v>
      </c>
      <c r="G17" s="14" t="n">
        <v>512000</v>
      </c>
      <c r="H17" s="15" t="inlineStr">
        <is>
          <t>Yes</t>
        </is>
      </c>
    </row>
    <row r="18">
      <c r="A18" s="7" t="inlineStr">
        <is>
          <t>ADM-MAR-ISB-2024-1013</t>
        </is>
      </c>
      <c r="B18" s="7" t="inlineStr">
        <is>
          <t>Millat Tractors Limited</t>
        </is>
      </c>
      <c r="C18" s="7" t="inlineStr">
        <is>
          <t>Islamabad Blue Area</t>
        </is>
      </c>
      <c r="D18" s="7" t="inlineStr">
        <is>
          <t>Marine Cargo</t>
        </is>
      </c>
      <c r="E18" s="40" t="n">
        <v>45544</v>
      </c>
      <c r="F18" s="11" t="n">
        <v>12</v>
      </c>
      <c r="G18" s="11" t="n">
        <v>2169000</v>
      </c>
      <c r="H18" s="7" t="inlineStr">
        <is>
          <t>No</t>
        </is>
      </c>
    </row>
    <row r="19">
      <c r="A19" s="15" t="inlineStr">
        <is>
          <t>ADM-ENG-FSD-2024-1014</t>
        </is>
      </c>
      <c r="B19" s="15" t="inlineStr">
        <is>
          <t>K-Electric Limited</t>
        </is>
      </c>
      <c r="C19" s="15" t="inlineStr">
        <is>
          <t>Faisalabad</t>
        </is>
      </c>
      <c r="D19" s="15" t="inlineStr">
        <is>
          <t>Engineering</t>
        </is>
      </c>
      <c r="E19" s="41" t="n">
        <v>45490</v>
      </c>
      <c r="F19" s="14" t="n">
        <v>12</v>
      </c>
      <c r="G19" s="14" t="n">
        <v>1089000</v>
      </c>
      <c r="H19" s="15" t="inlineStr">
        <is>
          <t>Yes</t>
        </is>
      </c>
    </row>
    <row r="20">
      <c r="A20" s="7" t="inlineStr">
        <is>
          <t>ADM-FIR-MUL-2024-1015</t>
        </is>
      </c>
      <c r="B20" s="7" t="inlineStr">
        <is>
          <t>Adnan Shahid Malik</t>
        </is>
      </c>
      <c r="C20" s="7" t="inlineStr">
        <is>
          <t>Multan</t>
        </is>
      </c>
      <c r="D20" s="7" t="inlineStr">
        <is>
          <t>Fire &amp; Property</t>
        </is>
      </c>
      <c r="E20" s="40" t="n">
        <v>45359</v>
      </c>
      <c r="F20" s="11" t="n">
        <v>12</v>
      </c>
      <c r="G20" s="11" t="n">
        <v>484000</v>
      </c>
      <c r="H20" s="7" t="inlineStr">
        <is>
          <t>Yes</t>
        </is>
      </c>
    </row>
    <row r="21">
      <c r="A21" s="15" t="inlineStr">
        <is>
          <t>ADM-TRV-PEW-2024-1016</t>
        </is>
      </c>
      <c r="B21" s="15" t="inlineStr">
        <is>
          <t>Sapphire Fibres Limited</t>
        </is>
      </c>
      <c r="C21" s="15" t="inlineStr">
        <is>
          <t>Peshawar</t>
        </is>
      </c>
      <c r="D21" s="15" t="inlineStr">
        <is>
          <t>Travel</t>
        </is>
      </c>
      <c r="E21" s="41" t="n">
        <v>45325</v>
      </c>
      <c r="F21" s="14" t="n">
        <v>12</v>
      </c>
      <c r="G21" s="14" t="n">
        <v>74000</v>
      </c>
      <c r="H21" s="15" t="inlineStr">
        <is>
          <t>No</t>
        </is>
      </c>
    </row>
    <row r="22">
      <c r="A22" s="7" t="inlineStr">
        <is>
          <t>ADM-MTR-QTA-2024-1017</t>
        </is>
      </c>
      <c r="B22" s="7" t="inlineStr">
        <is>
          <t>Archroma Pakistan Ltd</t>
        </is>
      </c>
      <c r="C22" s="7" t="inlineStr">
        <is>
          <t>Quetta</t>
        </is>
      </c>
      <c r="D22" s="7" t="inlineStr">
        <is>
          <t>Motor</t>
        </is>
      </c>
      <c r="E22" s="40" t="n">
        <v>45369</v>
      </c>
      <c r="F22" s="11" t="n">
        <v>12</v>
      </c>
      <c r="G22" s="11" t="n">
        <v>835000</v>
      </c>
      <c r="H22" s="7" t="inlineStr">
        <is>
          <t>Yes</t>
        </is>
      </c>
    </row>
    <row r="23">
      <c r="A23" s="15" t="inlineStr">
        <is>
          <t>ADM-HLT-HYD-2024-1018</t>
        </is>
      </c>
      <c r="B23" s="15" t="inlineStr">
        <is>
          <t>Tehmina Riaz</t>
        </is>
      </c>
      <c r="C23" s="15" t="inlineStr">
        <is>
          <t>Hyderabad</t>
        </is>
      </c>
      <c r="D23" s="15" t="inlineStr">
        <is>
          <t>Health</t>
        </is>
      </c>
      <c r="E23" s="41" t="n">
        <v>45333</v>
      </c>
      <c r="F23" s="14" t="n">
        <v>12</v>
      </c>
      <c r="G23" s="14" t="n">
        <v>174000</v>
      </c>
      <c r="H23" s="15" t="inlineStr">
        <is>
          <t>Yes</t>
        </is>
      </c>
    </row>
    <row r="24">
      <c r="A24" s="7" t="inlineStr">
        <is>
          <t>ADM-MSC-SKT-2024-1019</t>
        </is>
      </c>
      <c r="B24" s="7" t="inlineStr">
        <is>
          <t>Searle Pakistan Limited</t>
        </is>
      </c>
      <c r="C24" s="7" t="inlineStr">
        <is>
          <t>Sialkot</t>
        </is>
      </c>
      <c r="D24" s="7" t="inlineStr">
        <is>
          <t>Miscellaneous</t>
        </is>
      </c>
      <c r="E24" s="40" t="n">
        <v>45528</v>
      </c>
      <c r="F24" s="11" t="n">
        <v>12</v>
      </c>
      <c r="G24" s="11" t="n">
        <v>927000</v>
      </c>
      <c r="H24" s="7" t="inlineStr">
        <is>
          <t>No</t>
        </is>
      </c>
    </row>
    <row r="25">
      <c r="A25" s="15" t="inlineStr">
        <is>
          <t>ADM-MAR-RWP-2024-1020</t>
        </is>
      </c>
      <c r="B25" s="15" t="inlineStr">
        <is>
          <t>Thal Limited</t>
        </is>
      </c>
      <c r="C25" s="15" t="inlineStr">
        <is>
          <t>Rawalpindi</t>
        </is>
      </c>
      <c r="D25" s="15" t="inlineStr">
        <is>
          <t>Marine Cargo</t>
        </is>
      </c>
      <c r="E25" s="41" t="n">
        <v>45504</v>
      </c>
      <c r="F25" s="14" t="n">
        <v>12</v>
      </c>
      <c r="G25" s="14" t="n">
        <v>181000</v>
      </c>
      <c r="H25" s="15" t="inlineStr">
        <is>
          <t>Yes</t>
        </is>
      </c>
    </row>
    <row r="26">
      <c r="A26" s="7" t="inlineStr">
        <is>
          <t>ADM-ENG-KHI-2024-1021</t>
        </is>
      </c>
      <c r="B26" s="7" t="inlineStr">
        <is>
          <t>Ahmed Raza Qureshi</t>
        </is>
      </c>
      <c r="C26" s="7" t="inlineStr">
        <is>
          <t>Karachi Main</t>
        </is>
      </c>
      <c r="D26" s="7" t="inlineStr">
        <is>
          <t>Engineering</t>
        </is>
      </c>
      <c r="E26" s="40" t="n">
        <v>45434</v>
      </c>
      <c r="F26" s="11" t="n">
        <v>12</v>
      </c>
      <c r="G26" s="11" t="n">
        <v>78000</v>
      </c>
      <c r="H26" s="7" t="inlineStr">
        <is>
          <t>Yes</t>
        </is>
      </c>
    </row>
    <row r="27">
      <c r="A27" s="15" t="inlineStr">
        <is>
          <t>ADM-FIR-LHR-2024-1022</t>
        </is>
      </c>
      <c r="B27" s="15" t="inlineStr">
        <is>
          <t>Packages Limited</t>
        </is>
      </c>
      <c r="C27" s="15" t="inlineStr">
        <is>
          <t>Lahore Gulberg</t>
        </is>
      </c>
      <c r="D27" s="15" t="inlineStr">
        <is>
          <t>Fire &amp; Property</t>
        </is>
      </c>
      <c r="E27" s="41" t="n">
        <v>45343</v>
      </c>
      <c r="F27" s="14" t="n">
        <v>12</v>
      </c>
      <c r="G27" s="14" t="n">
        <v>368000</v>
      </c>
      <c r="H27" s="15" t="inlineStr">
        <is>
          <t>No</t>
        </is>
      </c>
    </row>
    <row r="29">
      <c r="A29" s="9" t="inlineStr">
        <is>
          <t>Table B — Tracker parameters</t>
        </is>
      </c>
    </row>
    <row r="30" ht="30" customHeight="1">
      <c r="A30" s="10" t="inlineStr">
        <is>
          <t>Parameter</t>
        </is>
      </c>
      <c r="B30" s="10" t="inlineStr">
        <is>
          <t>Value</t>
        </is>
      </c>
    </row>
    <row r="31">
      <c r="A31" s="7" t="inlineStr">
        <is>
          <t>Reporting Date</t>
        </is>
      </c>
      <c r="B31" s="44" t="n">
        <v>45596</v>
      </c>
    </row>
    <row r="32">
      <c r="A32" s="15" t="inlineStr">
        <is>
          <t>Grace Period (days)</t>
        </is>
      </c>
      <c r="B32" s="42" t="n">
        <v>30</v>
      </c>
    </row>
    <row r="33">
      <c r="A33" s="7" t="inlineStr">
        <is>
          <t>Renewal Notice Lead (working days)</t>
        </is>
      </c>
      <c r="B33" s="43" t="n">
        <v>15</v>
      </c>
    </row>
    <row r="34">
      <c r="A34" s="15" t="inlineStr">
        <is>
          <t>Cancellation Date (for refund test)</t>
        </is>
      </c>
      <c r="B34" s="45" t="n">
        <v>45616</v>
      </c>
    </row>
    <row r="36">
      <c r="A36" s="9" t="inlineStr">
        <is>
          <t>Table C — Public holidays 2024 (extract)</t>
        </is>
      </c>
    </row>
    <row r="37" ht="30" customHeight="1">
      <c r="A37" s="10" t="inlineStr">
        <is>
          <t>Holiday</t>
        </is>
      </c>
      <c r="B37" s="10" t="inlineStr">
        <is>
          <t>Date</t>
        </is>
      </c>
    </row>
    <row r="38">
      <c r="A38" s="7" t="inlineStr">
        <is>
          <t>Independence Day</t>
        </is>
      </c>
      <c r="B38" s="40" t="n">
        <v>45518</v>
      </c>
    </row>
    <row r="39">
      <c r="A39" s="15" t="inlineStr">
        <is>
          <t>Eid Milad-un-Nabi</t>
        </is>
      </c>
      <c r="B39" s="41" t="n">
        <v>45551</v>
      </c>
    </row>
    <row r="40">
      <c r="A40" s="7" t="inlineStr">
        <is>
          <t>Iqbal Day</t>
        </is>
      </c>
      <c r="B40" s="40" t="n">
        <v>45605</v>
      </c>
    </row>
    <row r="41">
      <c r="A41" s="15" t="inlineStr">
        <is>
          <t>Quaid-e-Azam Day</t>
        </is>
      </c>
      <c r="B41" s="41" t="n">
        <v>45651</v>
      </c>
    </row>
    <row r="43">
      <c r="A4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35.xml><?xml version="1.0" encoding="utf-8"?>
<worksheet xmlns="http://schemas.openxmlformats.org/spreadsheetml/2006/main">
  <sheetPr>
    <tabColor rgb="00C00000"/>
    <outlinePr summaryBelow="1" summaryRight="1"/>
    <pageSetUpPr/>
  </sheetPr>
  <dimension ref="A1:L4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Live Renewal Tracker as at 31 October</t>
        </is>
      </c>
    </row>
    <row r="3">
      <c r="A3" s="21" t="inlineStr">
        <is>
          <t>Prepared for:</t>
        </is>
      </c>
      <c r="B3" s="22" t="inlineStr">
        <is>
          <t>Manager, Renewals</t>
        </is>
      </c>
    </row>
    <row r="4">
      <c r="A4" s="21" t="inlineStr">
        <is>
          <t>Prepared by:</t>
        </is>
      </c>
      <c r="B4" s="23" t="n"/>
    </row>
    <row r="5">
      <c r="A5" s="21" t="inlineStr">
        <is>
          <t>Reporting date:</t>
        </is>
      </c>
      <c r="B5" s="22" t="inlineStr">
        <is>
          <t>As at reporting date shown on the dataset</t>
        </is>
      </c>
    </row>
    <row r="7" ht="44" customHeight="1">
      <c r="A7" s="24" t="inlineStr">
        <is>
          <t>The renewals unit works from four separate spreadsheets: one for expiries, one for the grace period, one for the call list and one for cancellations. The four disagree, and in September a corporate client worth PKR 2.3 million in premium lapsed because it appeared on none of them.</t>
        </is>
      </c>
    </row>
    <row r="9">
      <c r="A9" s="25" t="inlineStr">
        <is>
          <t>Source data: '1.17 Data'  (click to open)</t>
        </is>
      </c>
    </row>
    <row r="11" ht="16" customHeight="1">
      <c r="A11" s="26" t="inlineStr">
        <is>
          <t>Navy headers below = data linked live from the dataset sheet.   Gold headers = blank — build your formula here.</t>
        </is>
      </c>
    </row>
    <row r="12" ht="30" customHeight="1">
      <c r="A12" s="10" t="inlineStr">
        <is>
          <t>Policy No</t>
        </is>
      </c>
      <c r="B12" s="10" t="inlineStr">
        <is>
          <t>Client</t>
        </is>
      </c>
      <c r="C12" s="10" t="inlineStr">
        <is>
          <t>Branch</t>
        </is>
      </c>
      <c r="D12" s="10" t="inlineStr">
        <is>
          <t>Inception</t>
        </is>
      </c>
      <c r="E12" s="27" t="inlineStr">
        <is>
          <t>Expiry</t>
        </is>
      </c>
      <c r="F12" s="27" t="inlineStr">
        <is>
          <t>Days to Expiry at the reporting date</t>
        </is>
      </c>
      <c r="G12" s="27" t="inlineStr">
        <is>
          <t>Lifecycle Status (Expired / In Grace / Renewal Due / In Force)</t>
        </is>
      </c>
    </row>
    <row r="13">
      <c r="A13" s="7">
        <f>'1.17 Data'!A6</f>
        <v/>
      </c>
      <c r="B13" s="7">
        <f>'1.17 Data'!B6</f>
        <v/>
      </c>
      <c r="C13" s="7">
        <f>'1.17 Data'!C6</f>
        <v/>
      </c>
      <c r="D13" s="40">
        <f>'1.17 Data'!E6</f>
        <v/>
      </c>
      <c r="E13" s="28" t="n"/>
      <c r="F13" s="28" t="n"/>
      <c r="G13" s="28" t="n"/>
    </row>
    <row r="14">
      <c r="A14" s="15">
        <f>'1.17 Data'!A7</f>
        <v/>
      </c>
      <c r="B14" s="15">
        <f>'1.17 Data'!B7</f>
        <v/>
      </c>
      <c r="C14" s="15">
        <f>'1.17 Data'!C7</f>
        <v/>
      </c>
      <c r="D14" s="41">
        <f>'1.17 Data'!E7</f>
        <v/>
      </c>
      <c r="E14" s="28" t="n"/>
      <c r="F14" s="28" t="n"/>
      <c r="G14" s="28" t="n"/>
    </row>
    <row r="15">
      <c r="A15" s="7">
        <f>'1.17 Data'!A8</f>
        <v/>
      </c>
      <c r="B15" s="7">
        <f>'1.17 Data'!B8</f>
        <v/>
      </c>
      <c r="C15" s="7">
        <f>'1.17 Data'!C8</f>
        <v/>
      </c>
      <c r="D15" s="40">
        <f>'1.17 Data'!E8</f>
        <v/>
      </c>
      <c r="E15" s="28" t="n"/>
      <c r="F15" s="28" t="n"/>
      <c r="G15" s="28" t="n"/>
    </row>
    <row r="16">
      <c r="A16" s="15">
        <f>'1.17 Data'!A9</f>
        <v/>
      </c>
      <c r="B16" s="15">
        <f>'1.17 Data'!B9</f>
        <v/>
      </c>
      <c r="C16" s="15">
        <f>'1.17 Data'!C9</f>
        <v/>
      </c>
      <c r="D16" s="41">
        <f>'1.17 Data'!E9</f>
        <v/>
      </c>
      <c r="E16" s="28" t="n"/>
      <c r="F16" s="28" t="n"/>
      <c r="G16" s="28" t="n"/>
    </row>
    <row r="17">
      <c r="A17" s="7">
        <f>'1.17 Data'!A10</f>
        <v/>
      </c>
      <c r="B17" s="7">
        <f>'1.17 Data'!B10</f>
        <v/>
      </c>
      <c r="C17" s="7">
        <f>'1.17 Data'!C10</f>
        <v/>
      </c>
      <c r="D17" s="40">
        <f>'1.17 Data'!E10</f>
        <v/>
      </c>
      <c r="E17" s="28" t="n"/>
      <c r="F17" s="28" t="n"/>
      <c r="G17" s="28" t="n"/>
    </row>
    <row r="18">
      <c r="A18" s="15">
        <f>'1.17 Data'!A11</f>
        <v/>
      </c>
      <c r="B18" s="15">
        <f>'1.17 Data'!B11</f>
        <v/>
      </c>
      <c r="C18" s="15">
        <f>'1.17 Data'!C11</f>
        <v/>
      </c>
      <c r="D18" s="41">
        <f>'1.17 Data'!E11</f>
        <v/>
      </c>
      <c r="E18" s="28" t="n"/>
      <c r="F18" s="28" t="n"/>
      <c r="G18" s="28" t="n"/>
    </row>
    <row r="19">
      <c r="A19" s="7">
        <f>'1.17 Data'!A12</f>
        <v/>
      </c>
      <c r="B19" s="7">
        <f>'1.17 Data'!B12</f>
        <v/>
      </c>
      <c r="C19" s="7">
        <f>'1.17 Data'!C12</f>
        <v/>
      </c>
      <c r="D19" s="40">
        <f>'1.17 Data'!E12</f>
        <v/>
      </c>
      <c r="E19" s="28" t="n"/>
      <c r="F19" s="28" t="n"/>
      <c r="G19" s="28" t="n"/>
    </row>
    <row r="20">
      <c r="A20" s="15">
        <f>'1.17 Data'!A13</f>
        <v/>
      </c>
      <c r="B20" s="15">
        <f>'1.17 Data'!B13</f>
        <v/>
      </c>
      <c r="C20" s="15">
        <f>'1.17 Data'!C13</f>
        <v/>
      </c>
      <c r="D20" s="41">
        <f>'1.17 Data'!E13</f>
        <v/>
      </c>
      <c r="E20" s="28" t="n"/>
      <c r="F20" s="28" t="n"/>
      <c r="G20" s="28" t="n"/>
    </row>
    <row r="21">
      <c r="A21" s="7">
        <f>'1.17 Data'!A14</f>
        <v/>
      </c>
      <c r="B21" s="7">
        <f>'1.17 Data'!B14</f>
        <v/>
      </c>
      <c r="C21" s="7">
        <f>'1.17 Data'!C14</f>
        <v/>
      </c>
      <c r="D21" s="40">
        <f>'1.17 Data'!E14</f>
        <v/>
      </c>
      <c r="E21" s="28" t="n"/>
      <c r="F21" s="28" t="n"/>
      <c r="G21" s="28" t="n"/>
    </row>
    <row r="22">
      <c r="A22" s="15">
        <f>'1.17 Data'!A15</f>
        <v/>
      </c>
      <c r="B22" s="15">
        <f>'1.17 Data'!B15</f>
        <v/>
      </c>
      <c r="C22" s="15">
        <f>'1.17 Data'!C15</f>
        <v/>
      </c>
      <c r="D22" s="41">
        <f>'1.17 Data'!E15</f>
        <v/>
      </c>
      <c r="E22" s="28" t="n"/>
      <c r="F22" s="28" t="n"/>
      <c r="G22" s="28" t="n"/>
    </row>
    <row r="23">
      <c r="A23" s="7">
        <f>'1.17 Data'!A16</f>
        <v/>
      </c>
      <c r="B23" s="7">
        <f>'1.17 Data'!B16</f>
        <v/>
      </c>
      <c r="C23" s="7">
        <f>'1.17 Data'!C16</f>
        <v/>
      </c>
      <c r="D23" s="40">
        <f>'1.17 Data'!E16</f>
        <v/>
      </c>
      <c r="E23" s="28" t="n"/>
      <c r="F23" s="28" t="n"/>
      <c r="G23" s="28" t="n"/>
    </row>
    <row r="24">
      <c r="A24" s="15">
        <f>'1.17 Data'!A17</f>
        <v/>
      </c>
      <c r="B24" s="15">
        <f>'1.17 Data'!B17</f>
        <v/>
      </c>
      <c r="C24" s="15">
        <f>'1.17 Data'!C17</f>
        <v/>
      </c>
      <c r="D24" s="41">
        <f>'1.17 Data'!E17</f>
        <v/>
      </c>
      <c r="E24" s="28" t="n"/>
      <c r="F24" s="28" t="n"/>
      <c r="G24" s="28" t="n"/>
    </row>
    <row r="25">
      <c r="A25" s="7">
        <f>'1.17 Data'!A18</f>
        <v/>
      </c>
      <c r="B25" s="7">
        <f>'1.17 Data'!B18</f>
        <v/>
      </c>
      <c r="C25" s="7">
        <f>'1.17 Data'!C18</f>
        <v/>
      </c>
      <c r="D25" s="40">
        <f>'1.17 Data'!E18</f>
        <v/>
      </c>
      <c r="E25" s="28" t="n"/>
      <c r="F25" s="28" t="n"/>
      <c r="G25" s="28" t="n"/>
    </row>
    <row r="26">
      <c r="A26" s="15">
        <f>'1.17 Data'!A19</f>
        <v/>
      </c>
      <c r="B26" s="15">
        <f>'1.17 Data'!B19</f>
        <v/>
      </c>
      <c r="C26" s="15">
        <f>'1.17 Data'!C19</f>
        <v/>
      </c>
      <c r="D26" s="41">
        <f>'1.17 Data'!E19</f>
        <v/>
      </c>
      <c r="E26" s="28" t="n"/>
      <c r="F26" s="28" t="n"/>
      <c r="G26" s="28" t="n"/>
    </row>
    <row r="27">
      <c r="A27" s="7">
        <f>'1.17 Data'!A20</f>
        <v/>
      </c>
      <c r="B27" s="7">
        <f>'1.17 Data'!B20</f>
        <v/>
      </c>
      <c r="C27" s="7">
        <f>'1.17 Data'!C20</f>
        <v/>
      </c>
      <c r="D27" s="40">
        <f>'1.17 Data'!E20</f>
        <v/>
      </c>
      <c r="E27" s="28" t="n"/>
      <c r="F27" s="28" t="n"/>
      <c r="G27" s="28" t="n"/>
    </row>
    <row r="28">
      <c r="A28" s="15">
        <f>'1.17 Data'!A21</f>
        <v/>
      </c>
      <c r="B28" s="15">
        <f>'1.17 Data'!B21</f>
        <v/>
      </c>
      <c r="C28" s="15">
        <f>'1.17 Data'!C21</f>
        <v/>
      </c>
      <c r="D28" s="41">
        <f>'1.17 Data'!E21</f>
        <v/>
      </c>
      <c r="E28" s="28" t="n"/>
      <c r="F28" s="28" t="n"/>
      <c r="G28" s="28" t="n"/>
    </row>
    <row r="29">
      <c r="A29" s="7">
        <f>'1.17 Data'!A22</f>
        <v/>
      </c>
      <c r="B29" s="7">
        <f>'1.17 Data'!B22</f>
        <v/>
      </c>
      <c r="C29" s="7">
        <f>'1.17 Data'!C22</f>
        <v/>
      </c>
      <c r="D29" s="40">
        <f>'1.17 Data'!E22</f>
        <v/>
      </c>
      <c r="E29" s="28" t="n"/>
      <c r="F29" s="28" t="n"/>
      <c r="G29" s="28" t="n"/>
    </row>
    <row r="30">
      <c r="A30" s="15">
        <f>'1.17 Data'!A23</f>
        <v/>
      </c>
      <c r="B30" s="15">
        <f>'1.17 Data'!B23</f>
        <v/>
      </c>
      <c r="C30" s="15">
        <f>'1.17 Data'!C23</f>
        <v/>
      </c>
      <c r="D30" s="41">
        <f>'1.17 Data'!E23</f>
        <v/>
      </c>
      <c r="E30" s="28" t="n"/>
      <c r="F30" s="28" t="n"/>
      <c r="G30" s="28" t="n"/>
    </row>
    <row r="31">
      <c r="A31" s="7">
        <f>'1.17 Data'!A24</f>
        <v/>
      </c>
      <c r="B31" s="7">
        <f>'1.17 Data'!B24</f>
        <v/>
      </c>
      <c r="C31" s="7">
        <f>'1.17 Data'!C24</f>
        <v/>
      </c>
      <c r="D31" s="40">
        <f>'1.17 Data'!E24</f>
        <v/>
      </c>
      <c r="E31" s="28" t="n"/>
      <c r="F31" s="28" t="n"/>
      <c r="G31" s="28" t="n"/>
    </row>
    <row r="32">
      <c r="A32" s="15">
        <f>'1.17 Data'!A25</f>
        <v/>
      </c>
      <c r="B32" s="15">
        <f>'1.17 Data'!B25</f>
        <v/>
      </c>
      <c r="C32" s="15">
        <f>'1.17 Data'!C25</f>
        <v/>
      </c>
      <c r="D32" s="41">
        <f>'1.17 Data'!E25</f>
        <v/>
      </c>
      <c r="E32" s="28" t="n"/>
      <c r="F32" s="28" t="n"/>
      <c r="G32" s="28" t="n"/>
    </row>
    <row r="33">
      <c r="A33" s="7">
        <f>'1.17 Data'!A26</f>
        <v/>
      </c>
      <c r="B33" s="7">
        <f>'1.17 Data'!B26</f>
        <v/>
      </c>
      <c r="C33" s="7">
        <f>'1.17 Data'!C26</f>
        <v/>
      </c>
      <c r="D33" s="40">
        <f>'1.17 Data'!E26</f>
        <v/>
      </c>
      <c r="E33" s="28" t="n"/>
      <c r="F33" s="28" t="n"/>
      <c r="G33" s="28" t="n"/>
    </row>
    <row r="34">
      <c r="A34" s="15">
        <f>'1.17 Data'!A27</f>
        <v/>
      </c>
      <c r="B34" s="15">
        <f>'1.17 Data'!B27</f>
        <v/>
      </c>
      <c r="C34" s="15">
        <f>'1.17 Data'!C27</f>
        <v/>
      </c>
      <c r="D34" s="41">
        <f>'1.17 Data'!E27</f>
        <v/>
      </c>
      <c r="E34" s="28" t="n"/>
      <c r="F34" s="28" t="n"/>
      <c r="G34" s="28" t="n"/>
    </row>
    <row r="35">
      <c r="A35" s="29" t="inlineStr">
        <is>
          <t>TOTAL / RESULT</t>
        </is>
      </c>
      <c r="B35" s="30" t="n"/>
      <c r="C35" s="30" t="n"/>
      <c r="D35" s="30" t="n"/>
      <c r="E35" s="31" t="n"/>
      <c r="F35" s="31" t="n"/>
      <c r="G35" s="31" t="n"/>
    </row>
    <row r="37" ht="32" customHeight="1">
      <c r="A37"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39" ht="19" customHeight="1">
      <c r="A39" s="33" t="inlineStr">
        <is>
          <t>FURTHER REQUESTS ON THIS DATASET</t>
        </is>
      </c>
    </row>
    <row r="40" ht="20" customHeight="1">
      <c r="A40" s="34" t="inlineStr">
        <is>
          <t>#</t>
        </is>
      </c>
      <c r="B40" s="34" t="inlineStr">
        <is>
          <t>Request</t>
        </is>
      </c>
      <c r="C40" s="34" t="inlineStr">
        <is>
          <t>Requested by</t>
        </is>
      </c>
      <c r="D40" s="34" t="inlineStr">
        <is>
          <t>Report / figure required</t>
        </is>
      </c>
      <c r="E40" s="34" t="inlineStr">
        <is>
          <t>Your formula or answer</t>
        </is>
      </c>
    </row>
    <row r="41" ht="65" customHeight="1">
      <c r="A41" s="35" t="n">
        <v>1</v>
      </c>
      <c r="B41" s="36" t="inlineStr">
        <is>
          <t>Renewal Call List by urgency bucket</t>
        </is>
      </c>
      <c r="C41" s="37" t="inlineStr">
        <is>
          <t>Team Leader, Renewals Call Centre</t>
        </is>
      </c>
      <c r="D41" s="38" t="inlineStr">
        <is>
          <t>A call list bucketed as 0-15 days / 16-30 days / 31-60 days / over 60 days, showing count of policies and total premium at risk in each bucket, and the detail list sorted with the most urgent first.</t>
        </is>
      </c>
      <c r="E41" s="39" t="n"/>
    </row>
    <row r="42" ht="78" customHeight="1">
      <c r="A42" s="35" t="n">
        <v>2</v>
      </c>
      <c r="B42" s="36" t="inlineStr">
        <is>
          <t>Renewal Notice Despatch Deadlines</t>
        </is>
      </c>
      <c r="C42" s="37" t="inlineStr">
        <is>
          <t>Manager, Renewals</t>
        </is>
      </c>
      <c r="D42" s="38" t="inlineStr">
        <is>
          <t>A despatch schedule: Policy No | Expiry Date | Notice Deadline (15 working days before expiry, excluding public holidays) | Days remaining from the reporting date | Flag 'Despatch now' where the deadline is within seven days.</t>
        </is>
      </c>
      <c r="E42" s="39" t="n"/>
    </row>
    <row r="43" ht="65" customHeight="1">
      <c r="A43" s="35" t="n">
        <v>3</v>
      </c>
      <c r="B43" s="36" t="inlineStr">
        <is>
          <t>Pro-rata Cancellation Refund Schedule</t>
        </is>
      </c>
      <c r="C43" s="37" t="inlineStr">
        <is>
          <t>Finance Manager — Premium Accounting</t>
        </is>
      </c>
      <c r="D43" s="38" t="inlineStr">
        <is>
          <t>A refund schedule: Policy No | Gross Premium | Expiry | Unexpired Days at the cancellation date | Unexpired proportion | Pro-rata Refund (PKR). Total refund shown at the foot. Amounts #,##0.</t>
        </is>
      </c>
      <c r="E43" s="39" t="n"/>
    </row>
    <row r="44" ht="65" customHeight="1">
      <c r="A44" s="35" t="n">
        <v>4</v>
      </c>
      <c r="B44" s="36" t="inlineStr">
        <is>
          <t>November Renewal Forecast for the Board pack</t>
        </is>
      </c>
      <c r="C44" s="37" t="inlineStr">
        <is>
          <t>Chief Financial Officer</t>
        </is>
      </c>
      <c r="D44" s="38" t="inlineStr">
        <is>
          <t>A forecast block: renewals falling in November 2024 split by auto-renew flag, with count, premium, weighted premium at the two certainty factors, and a single forecast total for the Board.</t>
        </is>
      </c>
      <c r="E44" s="39" t="n"/>
    </row>
  </sheetData>
  <mergeCells count="6">
    <mergeCell ref="A2:L2"/>
    <mergeCell ref="A7:K7"/>
    <mergeCell ref="A1:L1"/>
    <mergeCell ref="A39:F39"/>
    <mergeCell ref="A11:G11"/>
    <mergeCell ref="A37:G37"/>
  </mergeCells>
  <hyperlinks>
    <hyperlink xmlns:r="http://schemas.openxmlformats.org/officeDocument/2006/relationships" ref="A9" r:id="rId1"/>
  </hyperlinks>
  <pageMargins left="0.75" right="0.75" top="1" bottom="1" header="0.5" footer="0.5"/>
</worksheet>
</file>

<file path=xl/worksheets/sheet36.xml><?xml version="1.0" encoding="utf-8"?>
<worksheet xmlns="http://schemas.openxmlformats.org/spreadsheetml/2006/main">
  <sheetPr>
    <tabColor rgb="001F3864"/>
    <outlinePr summaryBelow="1" summaryRight="1"/>
    <pageSetUpPr/>
  </sheetPr>
  <dimension ref="A1:G35"/>
  <sheetViews>
    <sheetView showGridLines="0" workbookViewId="0">
      <pane ySplit="5" topLeftCell="A6" activePane="bottomLeft" state="frozen"/>
      <selection pane="bottomLeft" activeCell="A1" sqref="A1"/>
    </sheetView>
  </sheetViews>
  <sheetFormatPr baseColWidth="8" defaultRowHeight="15"/>
  <cols>
    <col width="24" customWidth="1" min="1" max="1"/>
    <col width="22" customWidth="1" min="2" max="2"/>
    <col width="18" customWidth="1" min="3" max="3"/>
    <col width="20" customWidth="1" min="4" max="4"/>
    <col width="12" customWidth="1" min="5" max="5"/>
    <col width="20" customWidth="1" min="6" max="6"/>
    <col width="16" customWidth="1" min="7" max="7"/>
  </cols>
  <sheetData>
    <row r="1" ht="26" customHeight="1">
      <c r="A1" s="1" t="inlineStr">
        <is>
          <t>Dataset 2.1  —  Understanding Array Formulas in Excel 2016</t>
        </is>
      </c>
    </row>
    <row r="2" ht="16" customHeight="1">
      <c r="A2" s="2" t="inlineStr">
        <is>
          <t>Session 2: Array Formulas, Advanced Logic &amp; Named Ranges | Part A: Array Formulas (Ctrl+Shift+Enter)   |   Adamjee Assurance Company Limited (Pakistan) — training data, figures in PKR</t>
        </is>
      </c>
    </row>
    <row r="4">
      <c r="A4" s="9" t="inlineStr">
        <is>
          <t>Table A — Underwriting extract 2024 (no helper columns allowed)</t>
        </is>
      </c>
    </row>
    <row r="5" ht="30" customHeight="1">
      <c r="A5" s="10" t="inlineStr">
        <is>
          <t>Policy No</t>
        </is>
      </c>
      <c r="B5" s="10" t="inlineStr">
        <is>
          <t>Branch</t>
        </is>
      </c>
      <c r="C5" s="10" t="inlineStr">
        <is>
          <t>Product</t>
        </is>
      </c>
      <c r="D5" s="10" t="inlineStr">
        <is>
          <t>Sum Insured (PKR)</t>
        </is>
      </c>
      <c r="E5" s="10" t="inlineStr">
        <is>
          <t>Rate</t>
        </is>
      </c>
      <c r="F5" s="10" t="inlineStr">
        <is>
          <t>Claims Paid (PKR)</t>
        </is>
      </c>
      <c r="G5" s="10" t="inlineStr">
        <is>
          <t>Policy Status</t>
        </is>
      </c>
    </row>
    <row r="6">
      <c r="A6" s="7" t="inlineStr">
        <is>
          <t>ADM-FIR-KHI-2024-1001</t>
        </is>
      </c>
      <c r="B6" s="7" t="inlineStr">
        <is>
          <t>Karachi Main</t>
        </is>
      </c>
      <c r="C6" s="7" t="inlineStr">
        <is>
          <t>Fire &amp; Property</t>
        </is>
      </c>
      <c r="D6" s="11" t="n">
        <v>4500000</v>
      </c>
      <c r="E6" s="46" t="n">
        <v>0.02133</v>
      </c>
      <c r="F6" s="11" t="n">
        <v>96262</v>
      </c>
      <c r="G6" s="7" t="inlineStr">
        <is>
          <t>Active</t>
        </is>
      </c>
    </row>
    <row r="7">
      <c r="A7" s="15" t="inlineStr">
        <is>
          <t>ADM-TRV-LHR-2024-1002</t>
        </is>
      </c>
      <c r="B7" s="15" t="inlineStr">
        <is>
          <t>Lahore Gulberg</t>
        </is>
      </c>
      <c r="C7" s="15" t="inlineStr">
        <is>
          <t>Travel</t>
        </is>
      </c>
      <c r="D7" s="14" t="n">
        <v>12000000</v>
      </c>
      <c r="E7" s="47" t="n">
        <v>0.01675</v>
      </c>
      <c r="F7" s="14" t="n">
        <v>111595</v>
      </c>
      <c r="G7" s="15" t="inlineStr">
        <is>
          <t>Active</t>
        </is>
      </c>
    </row>
    <row r="8">
      <c r="A8" s="7" t="inlineStr">
        <is>
          <t>ADM-MTR-ISB-2024-1003</t>
        </is>
      </c>
      <c r="B8" s="7" t="inlineStr">
        <is>
          <t>Islamabad Blue Area</t>
        </is>
      </c>
      <c r="C8" s="7" t="inlineStr">
        <is>
          <t>Motor</t>
        </is>
      </c>
      <c r="D8" s="11" t="n">
        <v>65000000</v>
      </c>
      <c r="E8" s="46" t="n">
        <v>0.02149</v>
      </c>
      <c r="F8" s="11" t="n">
        <v>1436098</v>
      </c>
      <c r="G8" s="7" t="inlineStr">
        <is>
          <t>Active</t>
        </is>
      </c>
    </row>
    <row r="9">
      <c r="A9" s="15" t="inlineStr">
        <is>
          <t>ADM-HLT-FSD-2024-1004</t>
        </is>
      </c>
      <c r="B9" s="15" t="inlineStr">
        <is>
          <t>Faisalabad</t>
        </is>
      </c>
      <c r="C9" s="15" t="inlineStr">
        <is>
          <t>Health</t>
        </is>
      </c>
      <c r="D9" s="14" t="n">
        <v>18500000</v>
      </c>
      <c r="E9" s="47" t="n">
        <v>0.01649</v>
      </c>
      <c r="F9" s="14" t="n">
        <v>185930</v>
      </c>
      <c r="G9" s="15" t="inlineStr">
        <is>
          <t>Cancelled</t>
        </is>
      </c>
    </row>
    <row r="10">
      <c r="A10" s="7" t="inlineStr">
        <is>
          <t>ADM-MSC-MUL-2024-1005</t>
        </is>
      </c>
      <c r="B10" s="7" t="inlineStr">
        <is>
          <t>Multan</t>
        </is>
      </c>
      <c r="C10" s="7" t="inlineStr">
        <is>
          <t>Miscellaneous</t>
        </is>
      </c>
      <c r="D10" s="11" t="n">
        <v>4500000</v>
      </c>
      <c r="E10" s="46" t="n">
        <v>0.01667</v>
      </c>
      <c r="F10" s="11" t="n">
        <v>44061</v>
      </c>
      <c r="G10" s="7" t="inlineStr">
        <is>
          <t>Active</t>
        </is>
      </c>
    </row>
    <row r="11">
      <c r="A11" s="15" t="inlineStr">
        <is>
          <t>ADM-MAR-PEW-2024-1006</t>
        </is>
      </c>
      <c r="B11" s="15" t="inlineStr">
        <is>
          <t>Peshawar</t>
        </is>
      </c>
      <c r="C11" s="15" t="inlineStr">
        <is>
          <t>Marine Cargo</t>
        </is>
      </c>
      <c r="D11" s="14" t="n">
        <v>25000000</v>
      </c>
      <c r="E11" s="47" t="n">
        <v>0.0152</v>
      </c>
      <c r="F11" s="14" t="n">
        <v>91249</v>
      </c>
      <c r="G11" s="15" t="inlineStr">
        <is>
          <t>Active</t>
        </is>
      </c>
    </row>
    <row r="12">
      <c r="A12" s="7" t="inlineStr">
        <is>
          <t>ADM-ENG-QTA-2024-1007</t>
        </is>
      </c>
      <c r="B12" s="7" t="inlineStr">
        <is>
          <t>Quetta</t>
        </is>
      </c>
      <c r="C12" s="7" t="inlineStr">
        <is>
          <t>Engineering</t>
        </is>
      </c>
      <c r="D12" s="11" t="n">
        <v>18500000</v>
      </c>
      <c r="E12" s="46" t="n">
        <v>0.01227</v>
      </c>
      <c r="F12" s="11" t="n">
        <v>78775</v>
      </c>
      <c r="G12" s="7" t="inlineStr">
        <is>
          <t>Active</t>
        </is>
      </c>
    </row>
    <row r="13">
      <c r="A13" s="15" t="inlineStr">
        <is>
          <t>ADM-FIR-HYD-2024-1008</t>
        </is>
      </c>
      <c r="B13" s="15" t="inlineStr">
        <is>
          <t>Hyderabad</t>
        </is>
      </c>
      <c r="C13" s="15" t="inlineStr">
        <is>
          <t>Fire &amp; Property</t>
        </is>
      </c>
      <c r="D13" s="14" t="n">
        <v>25000000</v>
      </c>
      <c r="E13" s="47" t="n">
        <v>0.0116</v>
      </c>
      <c r="F13" s="14" t="n">
        <v>249183</v>
      </c>
      <c r="G13" s="15" t="inlineStr">
        <is>
          <t>Renewed</t>
        </is>
      </c>
    </row>
    <row r="14">
      <c r="A14" s="7" t="inlineStr">
        <is>
          <t>ADM-TRV-SKT-2024-1009</t>
        </is>
      </c>
      <c r="B14" s="7" t="inlineStr">
        <is>
          <t>Sialkot</t>
        </is>
      </c>
      <c r="C14" s="7" t="inlineStr">
        <is>
          <t>Travel</t>
        </is>
      </c>
      <c r="D14" s="11" t="n">
        <v>7500000</v>
      </c>
      <c r="E14" s="46" t="n">
        <v>0.00493</v>
      </c>
      <c r="F14" s="11" t="n">
        <v>48145</v>
      </c>
      <c r="G14" s="7" t="inlineStr">
        <is>
          <t>Active</t>
        </is>
      </c>
    </row>
    <row r="15">
      <c r="A15" s="15" t="inlineStr">
        <is>
          <t>ADM-MTR-RWP-2024-1010</t>
        </is>
      </c>
      <c r="B15" s="15" t="inlineStr">
        <is>
          <t>Rawalpindi</t>
        </is>
      </c>
      <c r="C15" s="15" t="inlineStr">
        <is>
          <t>Motor</t>
        </is>
      </c>
      <c r="D15" s="14" t="n">
        <v>65000000</v>
      </c>
      <c r="E15" s="47" t="n">
        <v>0.01169</v>
      </c>
      <c r="F15" s="14" t="n">
        <v>162016</v>
      </c>
      <c r="G15" s="15" t="inlineStr">
        <is>
          <t>Cancelled</t>
        </is>
      </c>
    </row>
    <row r="16">
      <c r="A16" s="7" t="inlineStr">
        <is>
          <t>ADM-HLT-KHI-2024-1011</t>
        </is>
      </c>
      <c r="B16" s="7" t="inlineStr">
        <is>
          <t>Karachi Main</t>
        </is>
      </c>
      <c r="C16" s="7" t="inlineStr">
        <is>
          <t>Health</t>
        </is>
      </c>
      <c r="D16" s="11" t="n">
        <v>90000000</v>
      </c>
      <c r="E16" s="46" t="n">
        <v>0.0067</v>
      </c>
      <c r="F16" s="11" t="n">
        <v>595704</v>
      </c>
      <c r="G16" s="7" t="inlineStr">
        <is>
          <t>Active</t>
        </is>
      </c>
    </row>
    <row r="17">
      <c r="A17" s="15" t="inlineStr">
        <is>
          <t>ADM-MSC-LHR-2024-1012</t>
        </is>
      </c>
      <c r="B17" s="15" t="inlineStr">
        <is>
          <t>Lahore Gulberg</t>
        </is>
      </c>
      <c r="C17" s="15" t="inlineStr">
        <is>
          <t>Miscellaneous</t>
        </is>
      </c>
      <c r="D17" s="14" t="n">
        <v>40000000</v>
      </c>
      <c r="E17" s="47" t="n">
        <v>0.0128</v>
      </c>
      <c r="F17" s="14" t="n">
        <v>394713</v>
      </c>
      <c r="G17" s="15" t="inlineStr">
        <is>
          <t>Active</t>
        </is>
      </c>
    </row>
    <row r="18">
      <c r="A18" s="7" t="inlineStr">
        <is>
          <t>ADM-MAR-ISB-2024-1013</t>
        </is>
      </c>
      <c r="B18" s="7" t="inlineStr">
        <is>
          <t>Islamabad Blue Area</t>
        </is>
      </c>
      <c r="C18" s="7" t="inlineStr">
        <is>
          <t>Marine Cargo</t>
        </is>
      </c>
      <c r="D18" s="11" t="n">
        <v>90000000</v>
      </c>
      <c r="E18" s="46" t="n">
        <v>0.0241</v>
      </c>
      <c r="F18" s="11" t="n">
        <v>2687419</v>
      </c>
      <c r="G18" s="7" t="inlineStr">
        <is>
          <t>Active</t>
        </is>
      </c>
    </row>
    <row r="19">
      <c r="A19" s="15" t="inlineStr">
        <is>
          <t>ADM-ENG-FSD-2024-1014</t>
        </is>
      </c>
      <c r="B19" s="15" t="inlineStr">
        <is>
          <t>Faisalabad</t>
        </is>
      </c>
      <c r="C19" s="15" t="inlineStr">
        <is>
          <t>Engineering</t>
        </is>
      </c>
      <c r="D19" s="14" t="n">
        <v>90000000</v>
      </c>
      <c r="E19" s="47" t="n">
        <v>0.0121</v>
      </c>
      <c r="F19" s="14" t="n">
        <v>1020517</v>
      </c>
      <c r="G19" s="15" t="inlineStr">
        <is>
          <t>Active</t>
        </is>
      </c>
    </row>
    <row r="20">
      <c r="A20" s="7" t="inlineStr">
        <is>
          <t>ADM-FIR-MUL-2024-1015</t>
        </is>
      </c>
      <c r="B20" s="7" t="inlineStr">
        <is>
          <t>Multan</t>
        </is>
      </c>
      <c r="C20" s="7" t="inlineStr">
        <is>
          <t>Fire &amp; Property</t>
        </is>
      </c>
      <c r="D20" s="11" t="n">
        <v>18500000</v>
      </c>
      <c r="E20" s="46" t="n">
        <v>0.02616</v>
      </c>
      <c r="F20" s="11" t="n">
        <v>575693</v>
      </c>
      <c r="G20" s="7" t="inlineStr">
        <is>
          <t>Cancelled</t>
        </is>
      </c>
    </row>
    <row r="21">
      <c r="A21" s="15" t="inlineStr">
        <is>
          <t>ADM-TRV-PEW-2024-1016</t>
        </is>
      </c>
      <c r="B21" s="15" t="inlineStr">
        <is>
          <t>Peshawar</t>
        </is>
      </c>
      <c r="C21" s="15" t="inlineStr">
        <is>
          <t>Travel</t>
        </is>
      </c>
      <c r="D21" s="14" t="n">
        <v>2800000</v>
      </c>
      <c r="E21" s="47" t="n">
        <v>0.02643</v>
      </c>
      <c r="F21" s="14" t="n">
        <v>114737</v>
      </c>
      <c r="G21" s="15" t="inlineStr">
        <is>
          <t>Active</t>
        </is>
      </c>
    </row>
    <row r="22">
      <c r="A22" s="7" t="inlineStr">
        <is>
          <t>ADM-MTR-QTA-2024-1017</t>
        </is>
      </c>
      <c r="B22" s="7" t="inlineStr">
        <is>
          <t>Quetta</t>
        </is>
      </c>
      <c r="C22" s="7" t="inlineStr">
        <is>
          <t>Motor</t>
        </is>
      </c>
      <c r="D22" s="11" t="n">
        <v>40000000</v>
      </c>
      <c r="E22" s="46" t="n">
        <v>0.02088</v>
      </c>
      <c r="F22" s="11" t="n">
        <v>672109</v>
      </c>
      <c r="G22" s="7" t="inlineStr">
        <is>
          <t>Active</t>
        </is>
      </c>
    </row>
    <row r="23">
      <c r="A23" s="15" t="inlineStr">
        <is>
          <t>ADM-HLT-HYD-2024-1018</t>
        </is>
      </c>
      <c r="B23" s="15" t="inlineStr">
        <is>
          <t>Hyderabad</t>
        </is>
      </c>
      <c r="C23" s="15" t="inlineStr">
        <is>
          <t>Health</t>
        </is>
      </c>
      <c r="D23" s="14" t="n">
        <v>7500000</v>
      </c>
      <c r="E23" s="47" t="n">
        <v>0.0232</v>
      </c>
      <c r="F23" s="14" t="n">
        <v>259300</v>
      </c>
      <c r="G23" s="15" t="inlineStr">
        <is>
          <t>Cancelled</t>
        </is>
      </c>
    </row>
    <row r="24">
      <c r="A24" s="7" t="inlineStr">
        <is>
          <t>ADM-MSC-SKT-2024-1019</t>
        </is>
      </c>
      <c r="B24" s="7" t="inlineStr">
        <is>
          <t>Sialkot</t>
        </is>
      </c>
      <c r="C24" s="7" t="inlineStr">
        <is>
          <t>Miscellaneous</t>
        </is>
      </c>
      <c r="D24" s="11" t="n">
        <v>90000000</v>
      </c>
      <c r="E24" s="46" t="n">
        <v>0.0103</v>
      </c>
      <c r="F24" s="11" t="n">
        <v>505938</v>
      </c>
      <c r="G24" s="7" t="inlineStr">
        <is>
          <t>Renewed</t>
        </is>
      </c>
    </row>
    <row r="25">
      <c r="A25" s="15" t="inlineStr">
        <is>
          <t>ADM-MAR-RWP-2024-1020</t>
        </is>
      </c>
      <c r="B25" s="15" t="inlineStr">
        <is>
          <t>Rawalpindi</t>
        </is>
      </c>
      <c r="C25" s="15" t="inlineStr">
        <is>
          <t>Marine Cargo</t>
        </is>
      </c>
      <c r="D25" s="14" t="n">
        <v>7500000</v>
      </c>
      <c r="E25" s="47" t="n">
        <v>0.02413</v>
      </c>
      <c r="F25" s="14" t="n">
        <v>181691</v>
      </c>
      <c r="G25" s="15" t="inlineStr">
        <is>
          <t>Active</t>
        </is>
      </c>
    </row>
    <row r="26">
      <c r="A26" s="7" t="inlineStr">
        <is>
          <t>ADM-ENG-KHI-2024-1021</t>
        </is>
      </c>
      <c r="B26" s="7" t="inlineStr">
        <is>
          <t>Karachi Main</t>
        </is>
      </c>
      <c r="C26" s="7" t="inlineStr">
        <is>
          <t>Engineering</t>
        </is>
      </c>
      <c r="D26" s="11" t="n">
        <v>4500000</v>
      </c>
      <c r="E26" s="46" t="n">
        <v>0.01733</v>
      </c>
      <c r="F26" s="11" t="n">
        <v>32635</v>
      </c>
      <c r="G26" s="7" t="inlineStr">
        <is>
          <t>Lapsed</t>
        </is>
      </c>
    </row>
    <row r="27">
      <c r="A27" s="15" t="inlineStr">
        <is>
          <t>ADM-FIR-LHR-2024-1022</t>
        </is>
      </c>
      <c r="B27" s="15" t="inlineStr">
        <is>
          <t>Lahore Gulberg</t>
        </is>
      </c>
      <c r="C27" s="15" t="inlineStr">
        <is>
          <t>Fire &amp; Property</t>
        </is>
      </c>
      <c r="D27" s="14" t="n">
        <v>40000000</v>
      </c>
      <c r="E27" s="47" t="n">
        <v>0.0092</v>
      </c>
      <c r="F27" s="14" t="n">
        <v>117086</v>
      </c>
      <c r="G27" s="15" t="inlineStr">
        <is>
          <t>Renewed</t>
        </is>
      </c>
    </row>
    <row r="28">
      <c r="A28" s="7" t="inlineStr">
        <is>
          <t>ADM-TRV-ISB-2024-1023</t>
        </is>
      </c>
      <c r="B28" s="7" t="inlineStr">
        <is>
          <t>Islamabad Blue Area</t>
        </is>
      </c>
      <c r="C28" s="7" t="inlineStr">
        <is>
          <t>Travel</t>
        </is>
      </c>
      <c r="D28" s="11" t="n">
        <v>65000000</v>
      </c>
      <c r="E28" s="46" t="n">
        <v>0.0244</v>
      </c>
      <c r="F28" s="11" t="n">
        <v>625762</v>
      </c>
      <c r="G28" s="7" t="inlineStr">
        <is>
          <t>Active</t>
        </is>
      </c>
    </row>
    <row r="29">
      <c r="A29" s="15" t="inlineStr">
        <is>
          <t>ADM-MTR-FSD-2024-1024</t>
        </is>
      </c>
      <c r="B29" s="15" t="inlineStr">
        <is>
          <t>Faisalabad</t>
        </is>
      </c>
      <c r="C29" s="15" t="inlineStr">
        <is>
          <t>Motor</t>
        </is>
      </c>
      <c r="D29" s="14" t="n">
        <v>90000000</v>
      </c>
      <c r="E29" s="47" t="n">
        <v>0.0256</v>
      </c>
      <c r="F29" s="14" t="n">
        <v>2938527</v>
      </c>
      <c r="G29" s="15" t="inlineStr">
        <is>
          <t>Renewed</t>
        </is>
      </c>
    </row>
    <row r="30">
      <c r="A30" s="7" t="inlineStr">
        <is>
          <t>ADM-HLT-MUL-2024-1025</t>
        </is>
      </c>
      <c r="B30" s="7" t="inlineStr">
        <is>
          <t>Multan</t>
        </is>
      </c>
      <c r="C30" s="7" t="inlineStr">
        <is>
          <t>Health</t>
        </is>
      </c>
      <c r="D30" s="11" t="n">
        <v>2800000</v>
      </c>
      <c r="E30" s="46" t="n">
        <v>0.00679</v>
      </c>
      <c r="F30" s="11" t="n">
        <v>28171</v>
      </c>
      <c r="G30" s="7" t="inlineStr">
        <is>
          <t>Lapsed</t>
        </is>
      </c>
    </row>
    <row r="31">
      <c r="A31" s="15" t="inlineStr">
        <is>
          <t>ADM-MSC-PEW-2024-1026</t>
        </is>
      </c>
      <c r="B31" s="15" t="inlineStr">
        <is>
          <t>Peshawar</t>
        </is>
      </c>
      <c r="C31" s="15" t="inlineStr">
        <is>
          <t>Miscellaneous</t>
        </is>
      </c>
      <c r="D31" s="14" t="n">
        <v>7500000</v>
      </c>
      <c r="E31" s="47" t="n">
        <v>0.02573</v>
      </c>
      <c r="F31" s="14" t="n">
        <v>17765</v>
      </c>
      <c r="G31" s="15" t="inlineStr">
        <is>
          <t>Active</t>
        </is>
      </c>
    </row>
    <row r="32">
      <c r="A32" s="7" t="inlineStr">
        <is>
          <t>ADM-MAR-QTA-2024-1027</t>
        </is>
      </c>
      <c r="B32" s="7" t="inlineStr">
        <is>
          <t>Quetta</t>
        </is>
      </c>
      <c r="C32" s="7" t="inlineStr">
        <is>
          <t>Marine Cargo</t>
        </is>
      </c>
      <c r="D32" s="11" t="n">
        <v>4500000</v>
      </c>
      <c r="E32" s="46" t="n">
        <v>0.009560000000000001</v>
      </c>
      <c r="F32" s="11" t="n">
        <v>32814</v>
      </c>
      <c r="G32" s="7" t="inlineStr">
        <is>
          <t>Cancelled</t>
        </is>
      </c>
    </row>
    <row r="33">
      <c r="A33" s="15" t="inlineStr">
        <is>
          <t>ADM-ENG-HYD-2024-1028</t>
        </is>
      </c>
      <c r="B33" s="15" t="inlineStr">
        <is>
          <t>Hyderabad</t>
        </is>
      </c>
      <c r="C33" s="15" t="inlineStr">
        <is>
          <t>Engineering</t>
        </is>
      </c>
      <c r="D33" s="14" t="n">
        <v>4500000</v>
      </c>
      <c r="E33" s="47" t="n">
        <v>0.006</v>
      </c>
      <c r="F33" s="14" t="n">
        <v>22858</v>
      </c>
      <c r="G33" s="15" t="inlineStr">
        <is>
          <t>Active</t>
        </is>
      </c>
    </row>
    <row r="35">
      <c r="A3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37.xml><?xml version="1.0" encoding="utf-8"?>
<worksheet xmlns="http://schemas.openxmlformats.org/spreadsheetml/2006/main">
  <sheetPr>
    <tabColor rgb="00C00000"/>
    <outlinePr summaryBelow="1" summaryRight="1"/>
    <pageSetUpPr/>
  </sheetPr>
  <dimension ref="A1:L33"/>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Premium Reconstruction on a locked MIS extract</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The MIS extract arrives locked: sum insured and rate on every row, no premium column, and IT will not add one because the sheet is system-generated. The month-end pack needs the premium total in ninety minutes and the current workaround is to copy the file, add a column and hope nobody notices the numbers came from a different file than the one on the server.</t>
        </is>
      </c>
    </row>
    <row r="9">
      <c r="A9" s="25" t="inlineStr">
        <is>
          <t>Source data: '2.1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Premium Reconstruction on a locked MIS extract</t>
        </is>
      </c>
      <c r="C13" s="38" t="inlineStr">
        <is>
          <t>A summary block computed from the locked extract with no helper columns: Total Gross Premium | Largest single-policy premium | Number of policies above PKR 500,000. Each figure in one cell, amounts #,##0.</t>
        </is>
      </c>
      <c r="D13" s="37" t="inlineStr">
        <is>
          <t>Head of Management Reporting</t>
        </is>
      </c>
      <c r="E13" s="31" t="n"/>
    </row>
    <row r="14" ht="65" customHeight="1">
      <c r="A14" s="35" t="n">
        <v>2</v>
      </c>
      <c r="B14" s="36" t="inlineStr">
        <is>
          <t>Entry-method defect note for the reporting runbook</t>
        </is>
      </c>
      <c r="C14" s="38" t="inlineStr">
        <is>
          <t>A runbook entry, in the yellow box, recording: what the formula returns when entered with Enter, what appears in the formula bar when entered correctly, and what F9 on the multiplication segment reveals.</t>
        </is>
      </c>
      <c r="D14" s="37" t="inlineStr">
        <is>
          <t>Head of MIS</t>
        </is>
      </c>
      <c r="E14" s="31" t="n"/>
    </row>
    <row r="15" ht="65" customHeight="1">
      <c r="A15" s="35" t="n">
        <v>3</v>
      </c>
      <c r="B15" s="36" t="inlineStr">
        <is>
          <t>Performance warning for the 200,000-row claims file</t>
        </is>
      </c>
      <c r="C15" s="38" t="inlineStr">
        <is>
          <t>A two-line performance note explaining the cost of whole-column array references in a large file and the specific change you would make to the formula before it is used on the claims data.</t>
        </is>
      </c>
      <c r="D15" s="37" t="inlineStr">
        <is>
          <t>Head of MIS</t>
        </is>
      </c>
      <c r="E15" s="31" t="n"/>
    </row>
    <row r="17" ht="20" customHeight="1">
      <c r="A17" s="33" t="inlineStr">
        <is>
          <t>BUILD YOUR REPORT / OUTPUT BELOW  (pivot, chart, macro output, or model — as required above)</t>
        </is>
      </c>
    </row>
    <row r="18" ht="16" customHeight="1">
      <c r="A18" s="31" t="n"/>
      <c r="B18" s="31" t="n"/>
      <c r="C18" s="31" t="n"/>
      <c r="D18" s="31" t="n"/>
      <c r="E18" s="31" t="n"/>
      <c r="F18" s="31" t="n"/>
      <c r="G18" s="31" t="n"/>
      <c r="H18" s="31" t="n"/>
      <c r="I18" s="31" t="n"/>
      <c r="J18" s="31" t="n"/>
      <c r="K18" s="31" t="n"/>
    </row>
    <row r="19">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3" ht="32" customHeight="1">
      <c r="A33"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7:K7"/>
    <mergeCell ref="A1:L1"/>
    <mergeCell ref="A33:E33"/>
    <mergeCell ref="A11:E11"/>
    <mergeCell ref="A17:E17"/>
  </mergeCells>
  <hyperlinks>
    <hyperlink xmlns:r="http://schemas.openxmlformats.org/officeDocument/2006/relationships" ref="A9" r:id="rId1"/>
  </hyperlinks>
  <pageMargins left="0.75" right="0.75" top="1" bottom="1" header="0.5" footer="0.5"/>
</worksheet>
</file>

<file path=xl/worksheets/sheet38.xml><?xml version="1.0" encoding="utf-8"?>
<worksheet xmlns="http://schemas.openxmlformats.org/spreadsheetml/2006/main">
  <sheetPr>
    <tabColor rgb="001F3864"/>
    <outlinePr summaryBelow="1" summaryRight="1"/>
    <pageSetUpPr/>
  </sheetPr>
  <dimension ref="A1:K52"/>
  <sheetViews>
    <sheetView showGridLines="0" workbookViewId="0">
      <pane ySplit="5" topLeftCell="A6" activePane="bottomLeft" state="frozen"/>
      <selection pane="bottomLeft" activeCell="A1" sqref="A1"/>
    </sheetView>
  </sheetViews>
  <sheetFormatPr baseColWidth="8" defaultRowHeight="15"/>
  <cols>
    <col width="24" customWidth="1" min="1" max="1"/>
    <col width="22" customWidth="1" min="2" max="2"/>
    <col width="12" customWidth="1" min="3" max="3"/>
    <col width="18" customWidth="1" min="4" max="4"/>
    <col width="16" customWidth="1" min="5" max="5"/>
    <col width="12" customWidth="1" min="6" max="6"/>
    <col width="18" customWidth="1" min="7" max="7"/>
    <col width="20" customWidth="1" min="8" max="8"/>
    <col width="20" customWidth="1" min="9" max="9"/>
    <col width="13" customWidth="1" min="10" max="10"/>
    <col width="14" customWidth="1" min="11" max="11"/>
  </cols>
  <sheetData>
    <row r="1" ht="26" customHeight="1">
      <c r="A1" s="1" t="inlineStr">
        <is>
          <t>Dataset 2.2  —  Single-Cell Array Formulas for Multi-Criteria Calculations</t>
        </is>
      </c>
    </row>
    <row r="2" ht="16" customHeight="1">
      <c r="A2" s="2" t="inlineStr">
        <is>
          <t>Session 2: Array Formulas, Advanced Logic &amp; Named Ranges | Part A: Array Formulas (Ctrl+Shift+Enter)   |   Adamjee Assurance Company Limited (Pakistan) — training data, figures in PKR</t>
        </is>
      </c>
    </row>
    <row r="4">
      <c r="A4" s="9" t="inlineStr">
        <is>
          <t>Table A — Underwriting extract 2024</t>
        </is>
      </c>
    </row>
    <row r="5" ht="30" customHeight="1">
      <c r="A5" s="10" t="inlineStr">
        <is>
          <t>Policy No</t>
        </is>
      </c>
      <c r="B5" s="10" t="inlineStr">
        <is>
          <t>Branch</t>
        </is>
      </c>
      <c r="C5" s="10" t="inlineStr">
        <is>
          <t>Region</t>
        </is>
      </c>
      <c r="D5" s="10" t="inlineStr">
        <is>
          <t>Product</t>
        </is>
      </c>
      <c r="E5" s="10" t="inlineStr">
        <is>
          <t>Channel</t>
        </is>
      </c>
      <c r="F5" s="10" t="inlineStr">
        <is>
          <t>Month</t>
        </is>
      </c>
      <c r="G5" s="10" t="inlineStr">
        <is>
          <t>Sum Insured (PKR)</t>
        </is>
      </c>
      <c r="H5" s="10" t="inlineStr">
        <is>
          <t>Gross Premium (PKR)</t>
        </is>
      </c>
      <c r="I5" s="10" t="inlineStr">
        <is>
          <t>Claims Paid (PKR)</t>
        </is>
      </c>
      <c r="J5" s="10" t="inlineStr">
        <is>
          <t>Commission %</t>
        </is>
      </c>
      <c r="K5" s="10" t="inlineStr">
        <is>
          <t>Policy Status</t>
        </is>
      </c>
    </row>
    <row r="6">
      <c r="A6" s="7" t="inlineStr">
        <is>
          <t>ADM-FIR-KHI-2024-1001</t>
        </is>
      </c>
      <c r="B6" s="7" t="inlineStr">
        <is>
          <t>Karachi Main</t>
        </is>
      </c>
      <c r="C6" s="7" t="inlineStr">
        <is>
          <t>South</t>
        </is>
      </c>
      <c r="D6" s="7" t="inlineStr">
        <is>
          <t>Fire &amp; Property</t>
        </is>
      </c>
      <c r="E6" s="7" t="inlineStr">
        <is>
          <t>Direct</t>
        </is>
      </c>
      <c r="F6" s="7" t="inlineStr">
        <is>
          <t>Jan-2024</t>
        </is>
      </c>
      <c r="G6" s="11" t="n">
        <v>4500000</v>
      </c>
      <c r="H6" s="11" t="n">
        <v>96000</v>
      </c>
      <c r="I6" s="11" t="n">
        <v>96262</v>
      </c>
      <c r="J6" s="13" t="n">
        <v>0.15</v>
      </c>
      <c r="K6" s="7" t="inlineStr">
        <is>
          <t>Active</t>
        </is>
      </c>
    </row>
    <row r="7">
      <c r="A7" s="15" t="inlineStr">
        <is>
          <t>ADM-TRV-LHR-2024-1002</t>
        </is>
      </c>
      <c r="B7" s="15" t="inlineStr">
        <is>
          <t>Lahore Gulberg</t>
        </is>
      </c>
      <c r="C7" s="15" t="inlineStr">
        <is>
          <t>Central</t>
        </is>
      </c>
      <c r="D7" s="15" t="inlineStr">
        <is>
          <t>Travel</t>
        </is>
      </c>
      <c r="E7" s="15" t="inlineStr">
        <is>
          <t>Agency</t>
        </is>
      </c>
      <c r="F7" s="15" t="inlineStr">
        <is>
          <t>Feb-2024</t>
        </is>
      </c>
      <c r="G7" s="14" t="n">
        <v>12000000</v>
      </c>
      <c r="H7" s="14" t="n">
        <v>201000</v>
      </c>
      <c r="I7" s="14" t="n">
        <v>111595</v>
      </c>
      <c r="J7" s="17" t="n">
        <v>0.175</v>
      </c>
      <c r="K7" s="15" t="inlineStr">
        <is>
          <t>Active</t>
        </is>
      </c>
    </row>
    <row r="8">
      <c r="A8" s="7" t="inlineStr">
        <is>
          <t>ADM-MTR-ISB-2024-1003</t>
        </is>
      </c>
      <c r="B8" s="7" t="inlineStr">
        <is>
          <t>Islamabad Blue Area</t>
        </is>
      </c>
      <c r="C8" s="7" t="inlineStr">
        <is>
          <t>North</t>
        </is>
      </c>
      <c r="D8" s="7" t="inlineStr">
        <is>
          <t>Motor</t>
        </is>
      </c>
      <c r="E8" s="7" t="inlineStr">
        <is>
          <t>Bancassurance</t>
        </is>
      </c>
      <c r="F8" s="7" t="inlineStr">
        <is>
          <t>Mar-2024</t>
        </is>
      </c>
      <c r="G8" s="11" t="n">
        <v>65000000</v>
      </c>
      <c r="H8" s="11" t="n">
        <v>1397000</v>
      </c>
      <c r="I8" s="11" t="n">
        <v>1436098</v>
      </c>
      <c r="J8" s="13" t="n">
        <v>0.125</v>
      </c>
      <c r="K8" s="7" t="inlineStr">
        <is>
          <t>Active</t>
        </is>
      </c>
    </row>
    <row r="9">
      <c r="A9" s="15" t="inlineStr">
        <is>
          <t>ADM-HLT-FSD-2024-1004</t>
        </is>
      </c>
      <c r="B9" s="15" t="inlineStr">
        <is>
          <t>Faisalabad</t>
        </is>
      </c>
      <c r="C9" s="15" t="inlineStr">
        <is>
          <t>Central</t>
        </is>
      </c>
      <c r="D9" s="15" t="inlineStr">
        <is>
          <t>Health</t>
        </is>
      </c>
      <c r="E9" s="15" t="inlineStr">
        <is>
          <t>Corporate</t>
        </is>
      </c>
      <c r="F9" s="15" t="inlineStr">
        <is>
          <t>Apr-2024</t>
        </is>
      </c>
      <c r="G9" s="14" t="n">
        <v>18500000</v>
      </c>
      <c r="H9" s="14" t="n">
        <v>305000</v>
      </c>
      <c r="I9" s="14" t="n">
        <v>185930</v>
      </c>
      <c r="J9" s="17" t="n">
        <v>0.125</v>
      </c>
      <c r="K9" s="15" t="inlineStr">
        <is>
          <t>Cancelled</t>
        </is>
      </c>
    </row>
    <row r="10">
      <c r="A10" s="7" t="inlineStr">
        <is>
          <t>ADM-MSC-MUL-2024-1005</t>
        </is>
      </c>
      <c r="B10" s="7" t="inlineStr">
        <is>
          <t>Multan</t>
        </is>
      </c>
      <c r="C10" s="7" t="inlineStr">
        <is>
          <t>Central</t>
        </is>
      </c>
      <c r="D10" s="7" t="inlineStr">
        <is>
          <t>Miscellaneous</t>
        </is>
      </c>
      <c r="E10" s="7" t="inlineStr">
        <is>
          <t>Direct</t>
        </is>
      </c>
      <c r="F10" s="7" t="inlineStr">
        <is>
          <t>May-2024</t>
        </is>
      </c>
      <c r="G10" s="11" t="n">
        <v>4500000</v>
      </c>
      <c r="H10" s="11" t="n">
        <v>75000</v>
      </c>
      <c r="I10" s="11" t="n">
        <v>44061</v>
      </c>
      <c r="J10" s="13" t="n">
        <v>0.175</v>
      </c>
      <c r="K10" s="7" t="inlineStr">
        <is>
          <t>Active</t>
        </is>
      </c>
    </row>
    <row r="11">
      <c r="A11" s="15" t="inlineStr">
        <is>
          <t>ADM-MAR-PEW-2024-1006</t>
        </is>
      </c>
      <c r="B11" s="15" t="inlineStr">
        <is>
          <t>Peshawar</t>
        </is>
      </c>
      <c r="C11" s="15" t="inlineStr">
        <is>
          <t>North</t>
        </is>
      </c>
      <c r="D11" s="15" t="inlineStr">
        <is>
          <t>Marine Cargo</t>
        </is>
      </c>
      <c r="E11" s="15" t="inlineStr">
        <is>
          <t>Agency</t>
        </is>
      </c>
      <c r="F11" s="15" t="inlineStr">
        <is>
          <t>Jun-2024</t>
        </is>
      </c>
      <c r="G11" s="14" t="n">
        <v>25000000</v>
      </c>
      <c r="H11" s="14" t="n">
        <v>380000</v>
      </c>
      <c r="I11" s="14" t="n">
        <v>91249</v>
      </c>
      <c r="J11" s="17" t="n">
        <v>0.125</v>
      </c>
      <c r="K11" s="15" t="inlineStr">
        <is>
          <t>Active</t>
        </is>
      </c>
    </row>
    <row r="12">
      <c r="A12" s="7" t="inlineStr">
        <is>
          <t>ADM-ENG-QTA-2024-1007</t>
        </is>
      </c>
      <c r="B12" s="7" t="inlineStr">
        <is>
          <t>Quetta</t>
        </is>
      </c>
      <c r="C12" s="7" t="inlineStr">
        <is>
          <t>South</t>
        </is>
      </c>
      <c r="D12" s="7" t="inlineStr">
        <is>
          <t>Engineering</t>
        </is>
      </c>
      <c r="E12" s="7" t="inlineStr">
        <is>
          <t>Bancassurance</t>
        </is>
      </c>
      <c r="F12" s="7" t="inlineStr">
        <is>
          <t>Jul-2024</t>
        </is>
      </c>
      <c r="G12" s="11" t="n">
        <v>18500000</v>
      </c>
      <c r="H12" s="11" t="n">
        <v>227000</v>
      </c>
      <c r="I12" s="11" t="n">
        <v>78775</v>
      </c>
      <c r="J12" s="13" t="n">
        <v>0.125</v>
      </c>
      <c r="K12" s="7" t="inlineStr">
        <is>
          <t>Active</t>
        </is>
      </c>
    </row>
    <row r="13">
      <c r="A13" s="15" t="inlineStr">
        <is>
          <t>ADM-FIR-HYD-2024-1008</t>
        </is>
      </c>
      <c r="B13" s="15" t="inlineStr">
        <is>
          <t>Hyderabad</t>
        </is>
      </c>
      <c r="C13" s="15" t="inlineStr">
        <is>
          <t>South</t>
        </is>
      </c>
      <c r="D13" s="15" t="inlineStr">
        <is>
          <t>Fire &amp; Property</t>
        </is>
      </c>
      <c r="E13" s="15" t="inlineStr">
        <is>
          <t>Corporate</t>
        </is>
      </c>
      <c r="F13" s="15" t="inlineStr">
        <is>
          <t>Aug-2024</t>
        </is>
      </c>
      <c r="G13" s="14" t="n">
        <v>25000000</v>
      </c>
      <c r="H13" s="14" t="n">
        <v>290000</v>
      </c>
      <c r="I13" s="14" t="n">
        <v>249183</v>
      </c>
      <c r="J13" s="17" t="n">
        <v>0.125</v>
      </c>
      <c r="K13" s="15" t="inlineStr">
        <is>
          <t>Renewed</t>
        </is>
      </c>
    </row>
    <row r="14">
      <c r="A14" s="7" t="inlineStr">
        <is>
          <t>ADM-TRV-SKT-2024-1009</t>
        </is>
      </c>
      <c r="B14" s="7" t="inlineStr">
        <is>
          <t>Sialkot</t>
        </is>
      </c>
      <c r="C14" s="7" t="inlineStr">
        <is>
          <t>Central</t>
        </is>
      </c>
      <c r="D14" s="7" t="inlineStr">
        <is>
          <t>Travel</t>
        </is>
      </c>
      <c r="E14" s="7" t="inlineStr">
        <is>
          <t>Direct</t>
        </is>
      </c>
      <c r="F14" s="7" t="inlineStr">
        <is>
          <t>Sep-2024</t>
        </is>
      </c>
      <c r="G14" s="11" t="n">
        <v>7500000</v>
      </c>
      <c r="H14" s="11" t="n">
        <v>37000</v>
      </c>
      <c r="I14" s="11" t="n">
        <v>48145</v>
      </c>
      <c r="J14" s="13" t="n">
        <v>0.125</v>
      </c>
      <c r="K14" s="7" t="inlineStr">
        <is>
          <t>Active</t>
        </is>
      </c>
    </row>
    <row r="15">
      <c r="A15" s="15" t="inlineStr">
        <is>
          <t>ADM-MTR-RWP-2024-1010</t>
        </is>
      </c>
      <c r="B15" s="15" t="inlineStr">
        <is>
          <t>Rawalpindi</t>
        </is>
      </c>
      <c r="C15" s="15" t="inlineStr">
        <is>
          <t>North</t>
        </is>
      </c>
      <c r="D15" s="15" t="inlineStr">
        <is>
          <t>Motor</t>
        </is>
      </c>
      <c r="E15" s="15" t="inlineStr">
        <is>
          <t>Agency</t>
        </is>
      </c>
      <c r="F15" s="15" t="inlineStr">
        <is>
          <t>Oct-2024</t>
        </is>
      </c>
      <c r="G15" s="14" t="n">
        <v>65000000</v>
      </c>
      <c r="H15" s="14" t="n">
        <v>760000</v>
      </c>
      <c r="I15" s="14" t="n">
        <v>162016</v>
      </c>
      <c r="J15" s="17" t="n">
        <v>0.2</v>
      </c>
      <c r="K15" s="15" t="inlineStr">
        <is>
          <t>Cancelled</t>
        </is>
      </c>
    </row>
    <row r="16">
      <c r="A16" s="7" t="inlineStr">
        <is>
          <t>ADM-HLT-KHI-2024-1011</t>
        </is>
      </c>
      <c r="B16" s="7" t="inlineStr">
        <is>
          <t>Karachi Main</t>
        </is>
      </c>
      <c r="C16" s="7" t="inlineStr">
        <is>
          <t>South</t>
        </is>
      </c>
      <c r="D16" s="7" t="inlineStr">
        <is>
          <t>Health</t>
        </is>
      </c>
      <c r="E16" s="7" t="inlineStr">
        <is>
          <t>Bancassurance</t>
        </is>
      </c>
      <c r="F16" s="7" t="inlineStr">
        <is>
          <t>Nov-2024</t>
        </is>
      </c>
      <c r="G16" s="11" t="n">
        <v>90000000</v>
      </c>
      <c r="H16" s="11" t="n">
        <v>603000</v>
      </c>
      <c r="I16" s="11" t="n">
        <v>595704</v>
      </c>
      <c r="J16" s="13" t="n">
        <v>0.2</v>
      </c>
      <c r="K16" s="7" t="inlineStr">
        <is>
          <t>Active</t>
        </is>
      </c>
    </row>
    <row r="17">
      <c r="A17" s="15" t="inlineStr">
        <is>
          <t>ADM-MSC-LHR-2024-1012</t>
        </is>
      </c>
      <c r="B17" s="15" t="inlineStr">
        <is>
          <t>Lahore Gulberg</t>
        </is>
      </c>
      <c r="C17" s="15" t="inlineStr">
        <is>
          <t>Central</t>
        </is>
      </c>
      <c r="D17" s="15" t="inlineStr">
        <is>
          <t>Miscellaneous</t>
        </is>
      </c>
      <c r="E17" s="15" t="inlineStr">
        <is>
          <t>Corporate</t>
        </is>
      </c>
      <c r="F17" s="15" t="inlineStr">
        <is>
          <t>Dec-2024</t>
        </is>
      </c>
      <c r="G17" s="14" t="n">
        <v>40000000</v>
      </c>
      <c r="H17" s="14" t="n">
        <v>512000</v>
      </c>
      <c r="I17" s="14" t="n">
        <v>394713</v>
      </c>
      <c r="J17" s="17" t="n">
        <v>0.125</v>
      </c>
      <c r="K17" s="15" t="inlineStr">
        <is>
          <t>Active</t>
        </is>
      </c>
    </row>
    <row r="18">
      <c r="A18" s="7" t="inlineStr">
        <is>
          <t>ADM-MAR-ISB-2024-1013</t>
        </is>
      </c>
      <c r="B18" s="7" t="inlineStr">
        <is>
          <t>Islamabad Blue Area</t>
        </is>
      </c>
      <c r="C18" s="7" t="inlineStr">
        <is>
          <t>North</t>
        </is>
      </c>
      <c r="D18" s="7" t="inlineStr">
        <is>
          <t>Marine Cargo</t>
        </is>
      </c>
      <c r="E18" s="7" t="inlineStr">
        <is>
          <t>Direct</t>
        </is>
      </c>
      <c r="F18" s="7" t="inlineStr">
        <is>
          <t>Jan-2024</t>
        </is>
      </c>
      <c r="G18" s="11" t="n">
        <v>90000000</v>
      </c>
      <c r="H18" s="11" t="n">
        <v>2169000</v>
      </c>
      <c r="I18" s="11" t="n">
        <v>2687419</v>
      </c>
      <c r="J18" s="13" t="n">
        <v>0.125</v>
      </c>
      <c r="K18" s="7" t="inlineStr">
        <is>
          <t>Active</t>
        </is>
      </c>
    </row>
    <row r="19">
      <c r="A19" s="15" t="inlineStr">
        <is>
          <t>ADM-ENG-FSD-2024-1014</t>
        </is>
      </c>
      <c r="B19" s="15" t="inlineStr">
        <is>
          <t>Faisalabad</t>
        </is>
      </c>
      <c r="C19" s="15" t="inlineStr">
        <is>
          <t>Central</t>
        </is>
      </c>
      <c r="D19" s="15" t="inlineStr">
        <is>
          <t>Engineering</t>
        </is>
      </c>
      <c r="E19" s="15" t="inlineStr">
        <is>
          <t>Agency</t>
        </is>
      </c>
      <c r="F19" s="15" t="inlineStr">
        <is>
          <t>Feb-2024</t>
        </is>
      </c>
      <c r="G19" s="14" t="n">
        <v>90000000</v>
      </c>
      <c r="H19" s="14" t="n">
        <v>1089000</v>
      </c>
      <c r="I19" s="14" t="n">
        <v>1020517</v>
      </c>
      <c r="J19" s="17" t="n">
        <v>0.175</v>
      </c>
      <c r="K19" s="15" t="inlineStr">
        <is>
          <t>Active</t>
        </is>
      </c>
    </row>
    <row r="20">
      <c r="A20" s="7" t="inlineStr">
        <is>
          <t>ADM-FIR-MUL-2024-1015</t>
        </is>
      </c>
      <c r="B20" s="7" t="inlineStr">
        <is>
          <t>Multan</t>
        </is>
      </c>
      <c r="C20" s="7" t="inlineStr">
        <is>
          <t>Central</t>
        </is>
      </c>
      <c r="D20" s="7" t="inlineStr">
        <is>
          <t>Fire &amp; Property</t>
        </is>
      </c>
      <c r="E20" s="7" t="inlineStr">
        <is>
          <t>Bancassurance</t>
        </is>
      </c>
      <c r="F20" s="7" t="inlineStr">
        <is>
          <t>Mar-2024</t>
        </is>
      </c>
      <c r="G20" s="11" t="n">
        <v>18500000</v>
      </c>
      <c r="H20" s="11" t="n">
        <v>484000</v>
      </c>
      <c r="I20" s="11" t="n">
        <v>575693</v>
      </c>
      <c r="J20" s="13" t="n">
        <v>0.2</v>
      </c>
      <c r="K20" s="7" t="inlineStr">
        <is>
          <t>Cancelled</t>
        </is>
      </c>
    </row>
    <row r="21">
      <c r="A21" s="15" t="inlineStr">
        <is>
          <t>ADM-TRV-PEW-2024-1016</t>
        </is>
      </c>
      <c r="B21" s="15" t="inlineStr">
        <is>
          <t>Peshawar</t>
        </is>
      </c>
      <c r="C21" s="15" t="inlineStr">
        <is>
          <t>North</t>
        </is>
      </c>
      <c r="D21" s="15" t="inlineStr">
        <is>
          <t>Travel</t>
        </is>
      </c>
      <c r="E21" s="15" t="inlineStr">
        <is>
          <t>Corporate</t>
        </is>
      </c>
      <c r="F21" s="15" t="inlineStr">
        <is>
          <t>Apr-2024</t>
        </is>
      </c>
      <c r="G21" s="14" t="n">
        <v>2800000</v>
      </c>
      <c r="H21" s="14" t="n">
        <v>74000</v>
      </c>
      <c r="I21" s="14" t="n">
        <v>114737</v>
      </c>
      <c r="J21" s="17" t="n">
        <v>0.125</v>
      </c>
      <c r="K21" s="15" t="inlineStr">
        <is>
          <t>Active</t>
        </is>
      </c>
    </row>
    <row r="22">
      <c r="A22" s="7" t="inlineStr">
        <is>
          <t>ADM-MTR-QTA-2024-1017</t>
        </is>
      </c>
      <c r="B22" s="7" t="inlineStr">
        <is>
          <t>Quetta</t>
        </is>
      </c>
      <c r="C22" s="7" t="inlineStr">
        <is>
          <t>South</t>
        </is>
      </c>
      <c r="D22" s="7" t="inlineStr">
        <is>
          <t>Motor</t>
        </is>
      </c>
      <c r="E22" s="7" t="inlineStr">
        <is>
          <t>Direct</t>
        </is>
      </c>
      <c r="F22" s="7" t="inlineStr">
        <is>
          <t>May-2024</t>
        </is>
      </c>
      <c r="G22" s="11" t="n">
        <v>40000000</v>
      </c>
      <c r="H22" s="11" t="n">
        <v>835000</v>
      </c>
      <c r="I22" s="11" t="n">
        <v>672109</v>
      </c>
      <c r="J22" s="13" t="n">
        <v>0.15</v>
      </c>
      <c r="K22" s="7" t="inlineStr">
        <is>
          <t>Active</t>
        </is>
      </c>
    </row>
    <row r="23">
      <c r="A23" s="15" t="inlineStr">
        <is>
          <t>ADM-HLT-HYD-2024-1018</t>
        </is>
      </c>
      <c r="B23" s="15" t="inlineStr">
        <is>
          <t>Hyderabad</t>
        </is>
      </c>
      <c r="C23" s="15" t="inlineStr">
        <is>
          <t>South</t>
        </is>
      </c>
      <c r="D23" s="15" t="inlineStr">
        <is>
          <t>Health</t>
        </is>
      </c>
      <c r="E23" s="15" t="inlineStr">
        <is>
          <t>Agency</t>
        </is>
      </c>
      <c r="F23" s="15" t="inlineStr">
        <is>
          <t>Jun-2024</t>
        </is>
      </c>
      <c r="G23" s="14" t="n">
        <v>7500000</v>
      </c>
      <c r="H23" s="14" t="n">
        <v>174000</v>
      </c>
      <c r="I23" s="14" t="n">
        <v>259300</v>
      </c>
      <c r="J23" s="17" t="n">
        <v>0.125</v>
      </c>
      <c r="K23" s="15" t="inlineStr">
        <is>
          <t>Cancelled</t>
        </is>
      </c>
    </row>
    <row r="24">
      <c r="A24" s="7" t="inlineStr">
        <is>
          <t>ADM-MSC-SKT-2024-1019</t>
        </is>
      </c>
      <c r="B24" s="7" t="inlineStr">
        <is>
          <t>Sialkot</t>
        </is>
      </c>
      <c r="C24" s="7" t="inlineStr">
        <is>
          <t>Central</t>
        </is>
      </c>
      <c r="D24" s="7" t="inlineStr">
        <is>
          <t>Miscellaneous</t>
        </is>
      </c>
      <c r="E24" s="7" t="inlineStr">
        <is>
          <t>Bancassurance</t>
        </is>
      </c>
      <c r="F24" s="7" t="inlineStr">
        <is>
          <t>Jul-2024</t>
        </is>
      </c>
      <c r="G24" s="11" t="n">
        <v>90000000</v>
      </c>
      <c r="H24" s="11" t="n">
        <v>927000</v>
      </c>
      <c r="I24" s="11" t="n">
        <v>505938</v>
      </c>
      <c r="J24" s="13" t="n">
        <v>0.2</v>
      </c>
      <c r="K24" s="7" t="inlineStr">
        <is>
          <t>Renewed</t>
        </is>
      </c>
    </row>
    <row r="25">
      <c r="A25" s="15" t="inlineStr">
        <is>
          <t>ADM-MAR-RWP-2024-1020</t>
        </is>
      </c>
      <c r="B25" s="15" t="inlineStr">
        <is>
          <t>Rawalpindi</t>
        </is>
      </c>
      <c r="C25" s="15" t="inlineStr">
        <is>
          <t>North</t>
        </is>
      </c>
      <c r="D25" s="15" t="inlineStr">
        <is>
          <t>Marine Cargo</t>
        </is>
      </c>
      <c r="E25" s="15" t="inlineStr">
        <is>
          <t>Corporate</t>
        </is>
      </c>
      <c r="F25" s="15" t="inlineStr">
        <is>
          <t>Aug-2024</t>
        </is>
      </c>
      <c r="G25" s="14" t="n">
        <v>7500000</v>
      </c>
      <c r="H25" s="14" t="n">
        <v>181000</v>
      </c>
      <c r="I25" s="14" t="n">
        <v>181691</v>
      </c>
      <c r="J25" s="17" t="n">
        <v>0.15</v>
      </c>
      <c r="K25" s="15" t="inlineStr">
        <is>
          <t>Active</t>
        </is>
      </c>
    </row>
    <row r="26">
      <c r="A26" s="7" t="inlineStr">
        <is>
          <t>ADM-ENG-KHI-2024-1021</t>
        </is>
      </c>
      <c r="B26" s="7" t="inlineStr">
        <is>
          <t>Karachi Main</t>
        </is>
      </c>
      <c r="C26" s="7" t="inlineStr">
        <is>
          <t>South</t>
        </is>
      </c>
      <c r="D26" s="7" t="inlineStr">
        <is>
          <t>Engineering</t>
        </is>
      </c>
      <c r="E26" s="7" t="inlineStr">
        <is>
          <t>Direct</t>
        </is>
      </c>
      <c r="F26" s="7" t="inlineStr">
        <is>
          <t>Sep-2024</t>
        </is>
      </c>
      <c r="G26" s="11" t="n">
        <v>4500000</v>
      </c>
      <c r="H26" s="11" t="n">
        <v>78000</v>
      </c>
      <c r="I26" s="11" t="n">
        <v>32635</v>
      </c>
      <c r="J26" s="13" t="n">
        <v>0.15</v>
      </c>
      <c r="K26" s="7" t="inlineStr">
        <is>
          <t>Lapsed</t>
        </is>
      </c>
    </row>
    <row r="27">
      <c r="A27" s="15" t="inlineStr">
        <is>
          <t>ADM-FIR-LHR-2024-1022</t>
        </is>
      </c>
      <c r="B27" s="15" t="inlineStr">
        <is>
          <t>Lahore Gulberg</t>
        </is>
      </c>
      <c r="C27" s="15" t="inlineStr">
        <is>
          <t>Central</t>
        </is>
      </c>
      <c r="D27" s="15" t="inlineStr">
        <is>
          <t>Fire &amp; Property</t>
        </is>
      </c>
      <c r="E27" s="15" t="inlineStr">
        <is>
          <t>Agency</t>
        </is>
      </c>
      <c r="F27" s="15" t="inlineStr">
        <is>
          <t>Oct-2024</t>
        </is>
      </c>
      <c r="G27" s="14" t="n">
        <v>40000000</v>
      </c>
      <c r="H27" s="14" t="n">
        <v>368000</v>
      </c>
      <c r="I27" s="14" t="n">
        <v>117086</v>
      </c>
      <c r="J27" s="17" t="n">
        <v>0.125</v>
      </c>
      <c r="K27" s="15" t="inlineStr">
        <is>
          <t>Renewed</t>
        </is>
      </c>
    </row>
    <row r="28">
      <c r="A28" s="7" t="inlineStr">
        <is>
          <t>ADM-TRV-ISB-2024-1023</t>
        </is>
      </c>
      <c r="B28" s="7" t="inlineStr">
        <is>
          <t>Islamabad Blue Area</t>
        </is>
      </c>
      <c r="C28" s="7" t="inlineStr">
        <is>
          <t>North</t>
        </is>
      </c>
      <c r="D28" s="7" t="inlineStr">
        <is>
          <t>Travel</t>
        </is>
      </c>
      <c r="E28" s="7" t="inlineStr">
        <is>
          <t>Bancassurance</t>
        </is>
      </c>
      <c r="F28" s="7" t="inlineStr">
        <is>
          <t>Nov-2024</t>
        </is>
      </c>
      <c r="G28" s="11" t="n">
        <v>65000000</v>
      </c>
      <c r="H28" s="11" t="n">
        <v>1586000</v>
      </c>
      <c r="I28" s="11" t="n">
        <v>625762</v>
      </c>
      <c r="J28" s="13" t="n">
        <v>0.15</v>
      </c>
      <c r="K28" s="7" t="inlineStr">
        <is>
          <t>Active</t>
        </is>
      </c>
    </row>
    <row r="29">
      <c r="A29" s="15" t="inlineStr">
        <is>
          <t>ADM-MTR-FSD-2024-1024</t>
        </is>
      </c>
      <c r="B29" s="15" t="inlineStr">
        <is>
          <t>Faisalabad</t>
        </is>
      </c>
      <c r="C29" s="15" t="inlineStr">
        <is>
          <t>Central</t>
        </is>
      </c>
      <c r="D29" s="15" t="inlineStr">
        <is>
          <t>Motor</t>
        </is>
      </c>
      <c r="E29" s="15" t="inlineStr">
        <is>
          <t>Corporate</t>
        </is>
      </c>
      <c r="F29" s="15" t="inlineStr">
        <is>
          <t>Dec-2024</t>
        </is>
      </c>
      <c r="G29" s="14" t="n">
        <v>90000000</v>
      </c>
      <c r="H29" s="14" t="n">
        <v>2304000</v>
      </c>
      <c r="I29" s="14" t="n">
        <v>2938527</v>
      </c>
      <c r="J29" s="17" t="n">
        <v>0.2</v>
      </c>
      <c r="K29" s="15" t="inlineStr">
        <is>
          <t>Renewed</t>
        </is>
      </c>
    </row>
    <row r="30">
      <c r="A30" s="7" t="inlineStr">
        <is>
          <t>ADM-HLT-MUL-2024-1025</t>
        </is>
      </c>
      <c r="B30" s="7" t="inlineStr">
        <is>
          <t>Multan</t>
        </is>
      </c>
      <c r="C30" s="7" t="inlineStr">
        <is>
          <t>Central</t>
        </is>
      </c>
      <c r="D30" s="7" t="inlineStr">
        <is>
          <t>Health</t>
        </is>
      </c>
      <c r="E30" s="7" t="inlineStr">
        <is>
          <t>Direct</t>
        </is>
      </c>
      <c r="F30" s="7" t="inlineStr">
        <is>
          <t>Jan-2024</t>
        </is>
      </c>
      <c r="G30" s="11" t="n">
        <v>2800000</v>
      </c>
      <c r="H30" s="11" t="n">
        <v>19000</v>
      </c>
      <c r="I30" s="11" t="n">
        <v>28171</v>
      </c>
      <c r="J30" s="13" t="n">
        <v>0.1</v>
      </c>
      <c r="K30" s="7" t="inlineStr">
        <is>
          <t>Lapsed</t>
        </is>
      </c>
    </row>
    <row r="31">
      <c r="A31" s="15" t="inlineStr">
        <is>
          <t>ADM-MSC-PEW-2024-1026</t>
        </is>
      </c>
      <c r="B31" s="15" t="inlineStr">
        <is>
          <t>Peshawar</t>
        </is>
      </c>
      <c r="C31" s="15" t="inlineStr">
        <is>
          <t>North</t>
        </is>
      </c>
      <c r="D31" s="15" t="inlineStr">
        <is>
          <t>Miscellaneous</t>
        </is>
      </c>
      <c r="E31" s="15" t="inlineStr">
        <is>
          <t>Agency</t>
        </is>
      </c>
      <c r="F31" s="15" t="inlineStr">
        <is>
          <t>Feb-2024</t>
        </is>
      </c>
      <c r="G31" s="14" t="n">
        <v>7500000</v>
      </c>
      <c r="H31" s="14" t="n">
        <v>193000</v>
      </c>
      <c r="I31" s="14" t="n">
        <v>17765</v>
      </c>
      <c r="J31" s="17" t="n">
        <v>0.2</v>
      </c>
      <c r="K31" s="15" t="inlineStr">
        <is>
          <t>Active</t>
        </is>
      </c>
    </row>
    <row r="32">
      <c r="A32" s="7" t="inlineStr">
        <is>
          <t>ADM-MAR-QTA-2024-1027</t>
        </is>
      </c>
      <c r="B32" s="7" t="inlineStr">
        <is>
          <t>Quetta</t>
        </is>
      </c>
      <c r="C32" s="7" t="inlineStr">
        <is>
          <t>South</t>
        </is>
      </c>
      <c r="D32" s="7" t="inlineStr">
        <is>
          <t>Marine Cargo</t>
        </is>
      </c>
      <c r="E32" s="7" t="inlineStr">
        <is>
          <t>Bancassurance</t>
        </is>
      </c>
      <c r="F32" s="7" t="inlineStr">
        <is>
          <t>Mar-2024</t>
        </is>
      </c>
      <c r="G32" s="11" t="n">
        <v>4500000</v>
      </c>
      <c r="H32" s="11" t="n">
        <v>43000</v>
      </c>
      <c r="I32" s="11" t="n">
        <v>32814</v>
      </c>
      <c r="J32" s="13" t="n">
        <v>0.2</v>
      </c>
      <c r="K32" s="7" t="inlineStr">
        <is>
          <t>Cancelled</t>
        </is>
      </c>
    </row>
    <row r="33">
      <c r="A33" s="15" t="inlineStr">
        <is>
          <t>ADM-ENG-HYD-2024-1028</t>
        </is>
      </c>
      <c r="B33" s="15" t="inlineStr">
        <is>
          <t>Hyderabad</t>
        </is>
      </c>
      <c r="C33" s="15" t="inlineStr">
        <is>
          <t>South</t>
        </is>
      </c>
      <c r="D33" s="15" t="inlineStr">
        <is>
          <t>Engineering</t>
        </is>
      </c>
      <c r="E33" s="15" t="inlineStr">
        <is>
          <t>Corporate</t>
        </is>
      </c>
      <c r="F33" s="15" t="inlineStr">
        <is>
          <t>Apr-2024</t>
        </is>
      </c>
      <c r="G33" s="14" t="n">
        <v>4500000</v>
      </c>
      <c r="H33" s="14" t="n">
        <v>27000</v>
      </c>
      <c r="I33" s="14" t="n">
        <v>22858</v>
      </c>
      <c r="J33" s="17" t="n">
        <v>0.2</v>
      </c>
      <c r="K33" s="15" t="inlineStr">
        <is>
          <t>Active</t>
        </is>
      </c>
    </row>
    <row r="34">
      <c r="A34" s="7" t="inlineStr">
        <is>
          <t>ADM-FIR-SKT-2024-1029</t>
        </is>
      </c>
      <c r="B34" s="7" t="inlineStr">
        <is>
          <t>Sialkot</t>
        </is>
      </c>
      <c r="C34" s="7" t="inlineStr">
        <is>
          <t>Central</t>
        </is>
      </c>
      <c r="D34" s="7" t="inlineStr">
        <is>
          <t>Fire &amp; Property</t>
        </is>
      </c>
      <c r="E34" s="7" t="inlineStr">
        <is>
          <t>Direct</t>
        </is>
      </c>
      <c r="F34" s="7" t="inlineStr">
        <is>
          <t>May-2024</t>
        </is>
      </c>
      <c r="G34" s="11" t="n">
        <v>65000000</v>
      </c>
      <c r="H34" s="11" t="n">
        <v>1527000</v>
      </c>
      <c r="I34" s="11" t="n">
        <v>181283</v>
      </c>
      <c r="J34" s="13" t="n">
        <v>0.2</v>
      </c>
      <c r="K34" s="7" t="inlineStr">
        <is>
          <t>Cancelled</t>
        </is>
      </c>
    </row>
    <row r="35">
      <c r="A35" s="15" t="inlineStr">
        <is>
          <t>ADM-TRV-RWP-2024-1030</t>
        </is>
      </c>
      <c r="B35" s="15" t="inlineStr">
        <is>
          <t>Rawalpindi</t>
        </is>
      </c>
      <c r="C35" s="15" t="inlineStr">
        <is>
          <t>North</t>
        </is>
      </c>
      <c r="D35" s="15" t="inlineStr">
        <is>
          <t>Travel</t>
        </is>
      </c>
      <c r="E35" s="15" t="inlineStr">
        <is>
          <t>Agency</t>
        </is>
      </c>
      <c r="F35" s="15" t="inlineStr">
        <is>
          <t>Jun-2024</t>
        </is>
      </c>
      <c r="G35" s="14" t="n">
        <v>90000000</v>
      </c>
      <c r="H35" s="14" t="n">
        <v>594000</v>
      </c>
      <c r="I35" s="14" t="n">
        <v>713976</v>
      </c>
      <c r="J35" s="17" t="n">
        <v>0.125</v>
      </c>
      <c r="K35" s="15" t="inlineStr">
        <is>
          <t>Lapsed</t>
        </is>
      </c>
    </row>
    <row r="36">
      <c r="A36" s="7" t="inlineStr">
        <is>
          <t>ADM-MTR-KHI-2024-1031</t>
        </is>
      </c>
      <c r="B36" s="7" t="inlineStr">
        <is>
          <t>Karachi Main</t>
        </is>
      </c>
      <c r="C36" s="7" t="inlineStr">
        <is>
          <t>South</t>
        </is>
      </c>
      <c r="D36" s="7" t="inlineStr">
        <is>
          <t>Motor</t>
        </is>
      </c>
      <c r="E36" s="7" t="inlineStr">
        <is>
          <t>Bancassurance</t>
        </is>
      </c>
      <c r="F36" s="7" t="inlineStr">
        <is>
          <t>Jul-2024</t>
        </is>
      </c>
      <c r="G36" s="11" t="n">
        <v>1500000</v>
      </c>
      <c r="H36" s="11" t="n">
        <v>10000</v>
      </c>
      <c r="I36" s="11" t="n">
        <v>3023</v>
      </c>
      <c r="J36" s="13" t="n">
        <v>0.1</v>
      </c>
      <c r="K36" s="7" t="inlineStr">
        <is>
          <t>Active</t>
        </is>
      </c>
    </row>
    <row r="37">
      <c r="A37" s="15" t="inlineStr">
        <is>
          <t>ADM-HLT-LHR-2024-1032</t>
        </is>
      </c>
      <c r="B37" s="15" t="inlineStr">
        <is>
          <t>Lahore Gulberg</t>
        </is>
      </c>
      <c r="C37" s="15" t="inlineStr">
        <is>
          <t>Central</t>
        </is>
      </c>
      <c r="D37" s="15" t="inlineStr">
        <is>
          <t>Health</t>
        </is>
      </c>
      <c r="E37" s="15" t="inlineStr">
        <is>
          <t>Corporate</t>
        </is>
      </c>
      <c r="F37" s="15" t="inlineStr">
        <is>
          <t>Aug-2024</t>
        </is>
      </c>
      <c r="G37" s="14" t="n">
        <v>2800000</v>
      </c>
      <c r="H37" s="14" t="n">
        <v>53000</v>
      </c>
      <c r="I37" s="14" t="n">
        <v>77663</v>
      </c>
      <c r="J37" s="17" t="n">
        <v>0.2</v>
      </c>
      <c r="K37" s="15" t="inlineStr">
        <is>
          <t>Cancelled</t>
        </is>
      </c>
    </row>
    <row r="38">
      <c r="A38" s="7" t="inlineStr">
        <is>
          <t>ADM-MSC-ISB-2024-1033</t>
        </is>
      </c>
      <c r="B38" s="7" t="inlineStr">
        <is>
          <t>Islamabad Blue Area</t>
        </is>
      </c>
      <c r="C38" s="7" t="inlineStr">
        <is>
          <t>North</t>
        </is>
      </c>
      <c r="D38" s="7" t="inlineStr">
        <is>
          <t>Miscellaneous</t>
        </is>
      </c>
      <c r="E38" s="7" t="inlineStr">
        <is>
          <t>Direct</t>
        </is>
      </c>
      <c r="F38" s="7" t="inlineStr">
        <is>
          <t>Sep-2024</t>
        </is>
      </c>
      <c r="G38" s="11" t="n">
        <v>7500000</v>
      </c>
      <c r="H38" s="11" t="n">
        <v>134000</v>
      </c>
      <c r="I38" s="11" t="n">
        <v>126532</v>
      </c>
      <c r="J38" s="13" t="n">
        <v>0.125</v>
      </c>
      <c r="K38" s="7" t="inlineStr">
        <is>
          <t>Renewed</t>
        </is>
      </c>
    </row>
    <row r="39">
      <c r="A39" s="15" t="inlineStr">
        <is>
          <t>ADM-MAR-FSD-2024-1034</t>
        </is>
      </c>
      <c r="B39" s="15" t="inlineStr">
        <is>
          <t>Faisalabad</t>
        </is>
      </c>
      <c r="C39" s="15" t="inlineStr">
        <is>
          <t>Central</t>
        </is>
      </c>
      <c r="D39" s="15" t="inlineStr">
        <is>
          <t>Marine Cargo</t>
        </is>
      </c>
      <c r="E39" s="15" t="inlineStr">
        <is>
          <t>Agency</t>
        </is>
      </c>
      <c r="F39" s="15" t="inlineStr">
        <is>
          <t>Oct-2024</t>
        </is>
      </c>
      <c r="G39" s="14" t="n">
        <v>40000000</v>
      </c>
      <c r="H39" s="14" t="n">
        <v>460000</v>
      </c>
      <c r="I39" s="14" t="n">
        <v>187356</v>
      </c>
      <c r="J39" s="17" t="n">
        <v>0.175</v>
      </c>
      <c r="K39" s="15" t="inlineStr">
        <is>
          <t>Cancelled</t>
        </is>
      </c>
    </row>
    <row r="40">
      <c r="A40" s="7" t="inlineStr">
        <is>
          <t>ADM-ENG-MUL-2024-1035</t>
        </is>
      </c>
      <c r="B40" s="7" t="inlineStr">
        <is>
          <t>Multan</t>
        </is>
      </c>
      <c r="C40" s="7" t="inlineStr">
        <is>
          <t>Central</t>
        </is>
      </c>
      <c r="D40" s="7" t="inlineStr">
        <is>
          <t>Engineering</t>
        </is>
      </c>
      <c r="E40" s="7" t="inlineStr">
        <is>
          <t>Bancassurance</t>
        </is>
      </c>
      <c r="F40" s="7" t="inlineStr">
        <is>
          <t>Nov-2024</t>
        </is>
      </c>
      <c r="G40" s="11" t="n">
        <v>7500000</v>
      </c>
      <c r="H40" s="11" t="n">
        <v>102000</v>
      </c>
      <c r="I40" s="11" t="n">
        <v>94948</v>
      </c>
      <c r="J40" s="13" t="n">
        <v>0.175</v>
      </c>
      <c r="K40" s="7" t="inlineStr">
        <is>
          <t>Renewed</t>
        </is>
      </c>
    </row>
    <row r="41">
      <c r="A41" s="15" t="inlineStr">
        <is>
          <t>ADM-FIR-PEW-2024-1036</t>
        </is>
      </c>
      <c r="B41" s="15" t="inlineStr">
        <is>
          <t>Peshawar</t>
        </is>
      </c>
      <c r="C41" s="15" t="inlineStr">
        <is>
          <t>North</t>
        </is>
      </c>
      <c r="D41" s="15" t="inlineStr">
        <is>
          <t>Fire &amp; Property</t>
        </is>
      </c>
      <c r="E41" s="15" t="inlineStr">
        <is>
          <t>Corporate</t>
        </is>
      </c>
      <c r="F41" s="15" t="inlineStr">
        <is>
          <t>Dec-2024</t>
        </is>
      </c>
      <c r="G41" s="14" t="n">
        <v>4500000</v>
      </c>
      <c r="H41" s="14" t="n">
        <v>113000</v>
      </c>
      <c r="I41" s="14" t="n">
        <v>125166</v>
      </c>
      <c r="J41" s="17" t="n">
        <v>0.125</v>
      </c>
      <c r="K41" s="15" t="inlineStr">
        <is>
          <t>Active</t>
        </is>
      </c>
    </row>
    <row r="43">
      <c r="A43" s="9" t="inlineStr">
        <is>
          <t>Table B — Criteria block (change these and the answers must update)</t>
        </is>
      </c>
    </row>
    <row r="44" ht="30" customHeight="1">
      <c r="A44" s="10" t="inlineStr">
        <is>
          <t>Criteria</t>
        </is>
      </c>
      <c r="B44" s="10" t="inlineStr">
        <is>
          <t>Value</t>
        </is>
      </c>
    </row>
    <row r="45">
      <c r="A45" s="7" t="inlineStr">
        <is>
          <t>Branch</t>
        </is>
      </c>
      <c r="B45" s="7" t="inlineStr">
        <is>
          <t>Karachi Main</t>
        </is>
      </c>
    </row>
    <row r="46">
      <c r="A46" s="15" t="inlineStr">
        <is>
          <t>Product</t>
        </is>
      </c>
      <c r="B46" s="15" t="inlineStr">
        <is>
          <t>Motor</t>
        </is>
      </c>
    </row>
    <row r="47">
      <c r="A47" s="7" t="inlineStr">
        <is>
          <t>Channel</t>
        </is>
      </c>
      <c r="B47" s="7" t="inlineStr">
        <is>
          <t>Bancassurance</t>
        </is>
      </c>
    </row>
    <row r="48">
      <c r="A48" s="15" t="inlineStr">
        <is>
          <t>Region</t>
        </is>
      </c>
      <c r="B48" s="15" t="inlineStr">
        <is>
          <t>South</t>
        </is>
      </c>
    </row>
    <row r="49">
      <c r="A49" s="7" t="inlineStr">
        <is>
          <t>Policy Status</t>
        </is>
      </c>
      <c r="B49" s="7" t="inlineStr">
        <is>
          <t>Active</t>
        </is>
      </c>
    </row>
    <row r="50">
      <c r="A50" s="15" t="inlineStr">
        <is>
          <t>Premium threshold (PKR)</t>
        </is>
      </c>
      <c r="B50" s="42" t="n">
        <v>300000</v>
      </c>
    </row>
    <row r="52">
      <c r="A52"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39.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Regional Head query panel — three-criteria premium</t>
        </is>
      </c>
    </row>
    <row r="3">
      <c r="A3" s="21" t="inlineStr">
        <is>
          <t>Prepared for:</t>
        </is>
      </c>
      <c r="B3" s="22" t="inlineStr">
        <is>
          <t>Regional Head — South</t>
        </is>
      </c>
    </row>
    <row r="4">
      <c r="A4" s="21" t="inlineStr">
        <is>
          <t>Prepared by:</t>
        </is>
      </c>
      <c r="B4" s="23" t="n"/>
    </row>
    <row r="5">
      <c r="A5" s="21" t="inlineStr">
        <is>
          <t>Reporting date:</t>
        </is>
      </c>
      <c r="B5" s="22" t="inlineStr">
        <is>
          <t>As at reporting date shown on the dataset</t>
        </is>
      </c>
    </row>
    <row r="7" ht="44" customHeight="1">
      <c r="A7" s="24" t="inlineStr">
        <is>
          <t>The Regional Head asks for single figures with several conditions attached, usually during a call: premium for Motor in the South written through Agency, then the same for Bancassurance, then for a different branch. Each request currently means a new filter and a new manual SUM, and two of last month's answers disagreed with the pack.</t>
        </is>
      </c>
    </row>
    <row r="9">
      <c r="A9" s="25" t="inlineStr">
        <is>
          <t>Source data: '2.2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Regional Head query panel — three-criteria premium</t>
        </is>
      </c>
      <c r="C13" s="38" t="inlineStr">
        <is>
          <t>A query panel with criteria cells for Branch, Product, Channel, Region, Status and a premium threshold, feeding: Total Premium | Policy Count | Average Premium. Changing any criteria cell must refresh all three without editing a formula.</t>
        </is>
      </c>
      <c r="D13" s="37" t="inlineStr">
        <is>
          <t>Regional Head — South</t>
        </is>
      </c>
      <c r="E13" s="31" t="n"/>
    </row>
    <row r="14" ht="65" customHeight="1">
      <c r="A14" s="35" t="n">
        <v>2</v>
      </c>
      <c r="B14" s="36" t="inlineStr">
        <is>
          <t>Combined Motor and Health exposure figure</t>
        </is>
      </c>
      <c r="C14" s="38" t="inlineStr">
        <is>
          <t>A single cell returning combined Motor and Health premium, with the two product names taken from cells so the definition of 'personal lines' can be changed without touching the formula.</t>
        </is>
      </c>
      <c r="D14" s="37" t="inlineStr">
        <is>
          <t>Chief Underwriting Officer</t>
        </is>
      </c>
      <c r="E14" s="31" t="n"/>
    </row>
    <row r="15" ht="65" customHeight="1">
      <c r="A15" s="35" t="n">
        <v>3</v>
      </c>
      <c r="B15" s="36" t="inlineStr">
        <is>
          <t>Large-risk register above the underwriting threshold</t>
        </is>
      </c>
      <c r="C15" s="38" t="inlineStr">
        <is>
          <t>A register summary: policies above the threshold cell AND with status Active — count, total premium, average premium, and the same three figures for the rest of the book for comparison.</t>
        </is>
      </c>
      <c r="D15" s="37" t="inlineStr">
        <is>
          <t>Chief Underwriting Officer</t>
        </is>
      </c>
      <c r="E15" s="31" t="n"/>
    </row>
    <row r="16" ht="65" customHeight="1">
      <c r="A16" s="35" t="n">
        <v>4</v>
      </c>
      <c r="B16" s="36" t="inlineStr">
        <is>
          <t>Panel acceptance test before release to four Regional Heads</t>
        </is>
      </c>
      <c r="C16" s="38" t="inlineStr">
        <is>
          <t>Evidence of the acceptance test: change the branch criteria cell, record the before and after figures for all three outputs, and confirm no formula was edited. State how you proved no criterion is hard-coded.</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40.xml><?xml version="1.0" encoding="utf-8"?>
<worksheet xmlns="http://schemas.openxmlformats.org/spreadsheetml/2006/main">
  <sheetPr>
    <tabColor rgb="001F3864"/>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24" customWidth="1" min="1" max="1"/>
    <col width="12" customWidth="1" min="2" max="2"/>
    <col width="18" customWidth="1" min="3" max="3"/>
    <col width="20" customWidth="1" min="4" max="4"/>
    <col width="14" customWidth="1" min="5" max="5"/>
    <col width="20" customWidth="1" min="6" max="6"/>
  </cols>
  <sheetData>
    <row r="1" ht="26" customHeight="1">
      <c r="A1" s="1" t="inlineStr">
        <is>
          <t>Dataset 2.3  —  Multi-Cell Array Formulas</t>
        </is>
      </c>
    </row>
    <row r="2" ht="16" customHeight="1">
      <c r="A2" s="2" t="inlineStr">
        <is>
          <t>Session 2: Array Formulas, Advanced Logic &amp; Named Ranges | Part A: Array Formulas (Ctrl+Shift+Enter)   |   Adamjee Assurance Company Limited (Pakistan) — training data, figures in PKR</t>
        </is>
      </c>
    </row>
    <row r="4">
      <c r="A4" s="9" t="inlineStr">
        <is>
          <t>Table A — Gross premium book</t>
        </is>
      </c>
    </row>
    <row r="5" ht="30" customHeight="1">
      <c r="A5" s="10" t="inlineStr">
        <is>
          <t>Policy No</t>
        </is>
      </c>
      <c r="B5" s="10" t="inlineStr">
        <is>
          <t>Branch</t>
        </is>
      </c>
      <c r="C5" s="10" t="inlineStr">
        <is>
          <t>Product</t>
        </is>
      </c>
      <c r="D5" s="10" t="inlineStr">
        <is>
          <t>Gross Premium (PKR)</t>
        </is>
      </c>
      <c r="E5" s="10" t="inlineStr">
        <is>
          <t>Commission %</t>
        </is>
      </c>
      <c r="F5" s="10" t="inlineStr">
        <is>
          <t>Claims Paid (PKR)</t>
        </is>
      </c>
    </row>
    <row r="6">
      <c r="A6" s="7" t="inlineStr">
        <is>
          <t>ADM-FIR-KHI-2024-1001</t>
        </is>
      </c>
      <c r="B6" s="7" t="inlineStr">
        <is>
          <t>Karachi Main</t>
        </is>
      </c>
      <c r="C6" s="7" t="inlineStr">
        <is>
          <t>Fire &amp; Property</t>
        </is>
      </c>
      <c r="D6" s="11" t="n">
        <v>96000</v>
      </c>
      <c r="E6" s="13" t="n">
        <v>0.15</v>
      </c>
      <c r="F6" s="11" t="n">
        <v>96262</v>
      </c>
    </row>
    <row r="7">
      <c r="A7" s="15" t="inlineStr">
        <is>
          <t>ADM-TRV-LHR-2024-1002</t>
        </is>
      </c>
      <c r="B7" s="15" t="inlineStr">
        <is>
          <t>Lahore Gulberg</t>
        </is>
      </c>
      <c r="C7" s="15" t="inlineStr">
        <is>
          <t>Travel</t>
        </is>
      </c>
      <c r="D7" s="14" t="n">
        <v>201000</v>
      </c>
      <c r="E7" s="17" t="n">
        <v>0.175</v>
      </c>
      <c r="F7" s="14" t="n">
        <v>111595</v>
      </c>
    </row>
    <row r="8">
      <c r="A8" s="7" t="inlineStr">
        <is>
          <t>ADM-MTR-ISB-2024-1003</t>
        </is>
      </c>
      <c r="B8" s="7" t="inlineStr">
        <is>
          <t>Islamabad Blue Area</t>
        </is>
      </c>
      <c r="C8" s="7" t="inlineStr">
        <is>
          <t>Motor</t>
        </is>
      </c>
      <c r="D8" s="11" t="n">
        <v>1397000</v>
      </c>
      <c r="E8" s="13" t="n">
        <v>0.125</v>
      </c>
      <c r="F8" s="11" t="n">
        <v>1436098</v>
      </c>
    </row>
    <row r="9">
      <c r="A9" s="15" t="inlineStr">
        <is>
          <t>ADM-HLT-FSD-2024-1004</t>
        </is>
      </c>
      <c r="B9" s="15" t="inlineStr">
        <is>
          <t>Faisalabad</t>
        </is>
      </c>
      <c r="C9" s="15" t="inlineStr">
        <is>
          <t>Health</t>
        </is>
      </c>
      <c r="D9" s="14" t="n">
        <v>305000</v>
      </c>
      <c r="E9" s="17" t="n">
        <v>0.125</v>
      </c>
      <c r="F9" s="14" t="n">
        <v>185930</v>
      </c>
    </row>
    <row r="10">
      <c r="A10" s="7" t="inlineStr">
        <is>
          <t>ADM-MSC-MUL-2024-1005</t>
        </is>
      </c>
      <c r="B10" s="7" t="inlineStr">
        <is>
          <t>Multan</t>
        </is>
      </c>
      <c r="C10" s="7" t="inlineStr">
        <is>
          <t>Miscellaneous</t>
        </is>
      </c>
      <c r="D10" s="11" t="n">
        <v>75000</v>
      </c>
      <c r="E10" s="13" t="n">
        <v>0.175</v>
      </c>
      <c r="F10" s="11" t="n">
        <v>44061</v>
      </c>
    </row>
    <row r="11">
      <c r="A11" s="15" t="inlineStr">
        <is>
          <t>ADM-MAR-PEW-2024-1006</t>
        </is>
      </c>
      <c r="B11" s="15" t="inlineStr">
        <is>
          <t>Peshawar</t>
        </is>
      </c>
      <c r="C11" s="15" t="inlineStr">
        <is>
          <t>Marine Cargo</t>
        </is>
      </c>
      <c r="D11" s="14" t="n">
        <v>380000</v>
      </c>
      <c r="E11" s="17" t="n">
        <v>0.125</v>
      </c>
      <c r="F11" s="14" t="n">
        <v>91249</v>
      </c>
    </row>
    <row r="12">
      <c r="A12" s="7" t="inlineStr">
        <is>
          <t>ADM-ENG-QTA-2024-1007</t>
        </is>
      </c>
      <c r="B12" s="7" t="inlineStr">
        <is>
          <t>Quetta</t>
        </is>
      </c>
      <c r="C12" s="7" t="inlineStr">
        <is>
          <t>Engineering</t>
        </is>
      </c>
      <c r="D12" s="11" t="n">
        <v>227000</v>
      </c>
      <c r="E12" s="13" t="n">
        <v>0.125</v>
      </c>
      <c r="F12" s="11" t="n">
        <v>78775</v>
      </c>
    </row>
    <row r="13">
      <c r="A13" s="15" t="inlineStr">
        <is>
          <t>ADM-FIR-HYD-2024-1008</t>
        </is>
      </c>
      <c r="B13" s="15" t="inlineStr">
        <is>
          <t>Hyderabad</t>
        </is>
      </c>
      <c r="C13" s="15" t="inlineStr">
        <is>
          <t>Fire &amp; Property</t>
        </is>
      </c>
      <c r="D13" s="14" t="n">
        <v>290000</v>
      </c>
      <c r="E13" s="17" t="n">
        <v>0.125</v>
      </c>
      <c r="F13" s="14" t="n">
        <v>249183</v>
      </c>
    </row>
    <row r="14">
      <c r="A14" s="7" t="inlineStr">
        <is>
          <t>ADM-TRV-SKT-2024-1009</t>
        </is>
      </c>
      <c r="B14" s="7" t="inlineStr">
        <is>
          <t>Sialkot</t>
        </is>
      </c>
      <c r="C14" s="7" t="inlineStr">
        <is>
          <t>Travel</t>
        </is>
      </c>
      <c r="D14" s="11" t="n">
        <v>37000</v>
      </c>
      <c r="E14" s="13" t="n">
        <v>0.125</v>
      </c>
      <c r="F14" s="11" t="n">
        <v>48145</v>
      </c>
    </row>
    <row r="15">
      <c r="A15" s="15" t="inlineStr">
        <is>
          <t>ADM-MTR-RWP-2024-1010</t>
        </is>
      </c>
      <c r="B15" s="15" t="inlineStr">
        <is>
          <t>Rawalpindi</t>
        </is>
      </c>
      <c r="C15" s="15" t="inlineStr">
        <is>
          <t>Motor</t>
        </is>
      </c>
      <c r="D15" s="14" t="n">
        <v>760000</v>
      </c>
      <c r="E15" s="17" t="n">
        <v>0.2</v>
      </c>
      <c r="F15" s="14" t="n">
        <v>162016</v>
      </c>
    </row>
    <row r="16">
      <c r="A16" s="7" t="inlineStr">
        <is>
          <t>ADM-HLT-KHI-2024-1011</t>
        </is>
      </c>
      <c r="B16" s="7" t="inlineStr">
        <is>
          <t>Karachi Main</t>
        </is>
      </c>
      <c r="C16" s="7" t="inlineStr">
        <is>
          <t>Health</t>
        </is>
      </c>
      <c r="D16" s="11" t="n">
        <v>603000</v>
      </c>
      <c r="E16" s="13" t="n">
        <v>0.2</v>
      </c>
      <c r="F16" s="11" t="n">
        <v>595704</v>
      </c>
    </row>
    <row r="17">
      <c r="A17" s="15" t="inlineStr">
        <is>
          <t>ADM-MSC-LHR-2024-1012</t>
        </is>
      </c>
      <c r="B17" s="15" t="inlineStr">
        <is>
          <t>Lahore Gulberg</t>
        </is>
      </c>
      <c r="C17" s="15" t="inlineStr">
        <is>
          <t>Miscellaneous</t>
        </is>
      </c>
      <c r="D17" s="14" t="n">
        <v>512000</v>
      </c>
      <c r="E17" s="17" t="n">
        <v>0.125</v>
      </c>
      <c r="F17" s="14" t="n">
        <v>394713</v>
      </c>
    </row>
    <row r="18">
      <c r="A18" s="7" t="inlineStr">
        <is>
          <t>ADM-MAR-ISB-2024-1013</t>
        </is>
      </c>
      <c r="B18" s="7" t="inlineStr">
        <is>
          <t>Islamabad Blue Area</t>
        </is>
      </c>
      <c r="C18" s="7" t="inlineStr">
        <is>
          <t>Marine Cargo</t>
        </is>
      </c>
      <c r="D18" s="11" t="n">
        <v>2169000</v>
      </c>
      <c r="E18" s="13" t="n">
        <v>0.125</v>
      </c>
      <c r="F18" s="11" t="n">
        <v>2687419</v>
      </c>
    </row>
    <row r="19">
      <c r="A19" s="15" t="inlineStr">
        <is>
          <t>ADM-ENG-FSD-2024-1014</t>
        </is>
      </c>
      <c r="B19" s="15" t="inlineStr">
        <is>
          <t>Faisalabad</t>
        </is>
      </c>
      <c r="C19" s="15" t="inlineStr">
        <is>
          <t>Engineering</t>
        </is>
      </c>
      <c r="D19" s="14" t="n">
        <v>1089000</v>
      </c>
      <c r="E19" s="17" t="n">
        <v>0.175</v>
      </c>
      <c r="F19" s="14" t="n">
        <v>1020517</v>
      </c>
    </row>
    <row r="20">
      <c r="A20" s="7" t="inlineStr">
        <is>
          <t>ADM-FIR-MUL-2024-1015</t>
        </is>
      </c>
      <c r="B20" s="7" t="inlineStr">
        <is>
          <t>Multan</t>
        </is>
      </c>
      <c r="C20" s="7" t="inlineStr">
        <is>
          <t>Fire &amp; Property</t>
        </is>
      </c>
      <c r="D20" s="11" t="n">
        <v>484000</v>
      </c>
      <c r="E20" s="13" t="n">
        <v>0.2</v>
      </c>
      <c r="F20" s="11" t="n">
        <v>575693</v>
      </c>
    </row>
    <row r="21">
      <c r="A21" s="15" t="inlineStr">
        <is>
          <t>ADM-TRV-PEW-2024-1016</t>
        </is>
      </c>
      <c r="B21" s="15" t="inlineStr">
        <is>
          <t>Peshawar</t>
        </is>
      </c>
      <c r="C21" s="15" t="inlineStr">
        <is>
          <t>Travel</t>
        </is>
      </c>
      <c r="D21" s="14" t="n">
        <v>74000</v>
      </c>
      <c r="E21" s="17" t="n">
        <v>0.125</v>
      </c>
      <c r="F21" s="14" t="n">
        <v>114737</v>
      </c>
    </row>
    <row r="22">
      <c r="A22" s="7" t="inlineStr">
        <is>
          <t>ADM-MTR-QTA-2024-1017</t>
        </is>
      </c>
      <c r="B22" s="7" t="inlineStr">
        <is>
          <t>Quetta</t>
        </is>
      </c>
      <c r="C22" s="7" t="inlineStr">
        <is>
          <t>Motor</t>
        </is>
      </c>
      <c r="D22" s="11" t="n">
        <v>835000</v>
      </c>
      <c r="E22" s="13" t="n">
        <v>0.15</v>
      </c>
      <c r="F22" s="11" t="n">
        <v>672109</v>
      </c>
    </row>
    <row r="23">
      <c r="A23" s="15" t="inlineStr">
        <is>
          <t>ADM-HLT-HYD-2024-1018</t>
        </is>
      </c>
      <c r="B23" s="15" t="inlineStr">
        <is>
          <t>Hyderabad</t>
        </is>
      </c>
      <c r="C23" s="15" t="inlineStr">
        <is>
          <t>Health</t>
        </is>
      </c>
      <c r="D23" s="14" t="n">
        <v>174000</v>
      </c>
      <c r="E23" s="17" t="n">
        <v>0.125</v>
      </c>
      <c r="F23" s="14" t="n">
        <v>259300</v>
      </c>
    </row>
    <row r="24">
      <c r="A24" s="7" t="inlineStr">
        <is>
          <t>ADM-MSC-SKT-2024-1019</t>
        </is>
      </c>
      <c r="B24" s="7" t="inlineStr">
        <is>
          <t>Sialkot</t>
        </is>
      </c>
      <c r="C24" s="7" t="inlineStr">
        <is>
          <t>Miscellaneous</t>
        </is>
      </c>
      <c r="D24" s="11" t="n">
        <v>927000</v>
      </c>
      <c r="E24" s="13" t="n">
        <v>0.2</v>
      </c>
      <c r="F24" s="11" t="n">
        <v>505938</v>
      </c>
    </row>
    <row r="25">
      <c r="A25" s="15" t="inlineStr">
        <is>
          <t>ADM-MAR-RWP-2024-1020</t>
        </is>
      </c>
      <c r="B25" s="15" t="inlineStr">
        <is>
          <t>Rawalpindi</t>
        </is>
      </c>
      <c r="C25" s="15" t="inlineStr">
        <is>
          <t>Marine Cargo</t>
        </is>
      </c>
      <c r="D25" s="14" t="n">
        <v>181000</v>
      </c>
      <c r="E25" s="17" t="n">
        <v>0.15</v>
      </c>
      <c r="F25" s="14" t="n">
        <v>181691</v>
      </c>
    </row>
    <row r="26">
      <c r="A26" s="7" t="inlineStr">
        <is>
          <t>ADM-ENG-KHI-2024-1021</t>
        </is>
      </c>
      <c r="B26" s="7" t="inlineStr">
        <is>
          <t>Karachi Main</t>
        </is>
      </c>
      <c r="C26" s="7" t="inlineStr">
        <is>
          <t>Engineering</t>
        </is>
      </c>
      <c r="D26" s="11" t="n">
        <v>78000</v>
      </c>
      <c r="E26" s="13" t="n">
        <v>0.15</v>
      </c>
      <c r="F26" s="11" t="n">
        <v>32635</v>
      </c>
    </row>
    <row r="27">
      <c r="A27" s="15" t="inlineStr">
        <is>
          <t>ADM-FIR-LHR-2024-1022</t>
        </is>
      </c>
      <c r="B27" s="15" t="inlineStr">
        <is>
          <t>Lahore Gulberg</t>
        </is>
      </c>
      <c r="C27" s="15" t="inlineStr">
        <is>
          <t>Fire &amp; Property</t>
        </is>
      </c>
      <c r="D27" s="14" t="n">
        <v>368000</v>
      </c>
      <c r="E27" s="17" t="n">
        <v>0.125</v>
      </c>
      <c r="F27" s="14" t="n">
        <v>117086</v>
      </c>
    </row>
    <row r="28">
      <c r="A28" s="7" t="inlineStr">
        <is>
          <t>ADM-TRV-ISB-2024-1023</t>
        </is>
      </c>
      <c r="B28" s="7" t="inlineStr">
        <is>
          <t>Islamabad Blue Area</t>
        </is>
      </c>
      <c r="C28" s="7" t="inlineStr">
        <is>
          <t>Travel</t>
        </is>
      </c>
      <c r="D28" s="11" t="n">
        <v>1586000</v>
      </c>
      <c r="E28" s="13" t="n">
        <v>0.15</v>
      </c>
      <c r="F28" s="11" t="n">
        <v>625762</v>
      </c>
    </row>
    <row r="29">
      <c r="A29" s="15" t="inlineStr">
        <is>
          <t>ADM-MTR-FSD-2024-1024</t>
        </is>
      </c>
      <c r="B29" s="15" t="inlineStr">
        <is>
          <t>Faisalabad</t>
        </is>
      </c>
      <c r="C29" s="15" t="inlineStr">
        <is>
          <t>Motor</t>
        </is>
      </c>
      <c r="D29" s="14" t="n">
        <v>2304000</v>
      </c>
      <c r="E29" s="17" t="n">
        <v>0.2</v>
      </c>
      <c r="F29" s="14" t="n">
        <v>2938527</v>
      </c>
    </row>
    <row r="30">
      <c r="A30" s="7" t="inlineStr">
        <is>
          <t>ADM-HLT-MUL-2024-1025</t>
        </is>
      </c>
      <c r="B30" s="7" t="inlineStr">
        <is>
          <t>Multan</t>
        </is>
      </c>
      <c r="C30" s="7" t="inlineStr">
        <is>
          <t>Health</t>
        </is>
      </c>
      <c r="D30" s="11" t="n">
        <v>19000</v>
      </c>
      <c r="E30" s="13" t="n">
        <v>0.1</v>
      </c>
      <c r="F30" s="11" t="n">
        <v>28171</v>
      </c>
    </row>
    <row r="31">
      <c r="A31" s="15" t="inlineStr">
        <is>
          <t>ADM-MSC-PEW-2024-1026</t>
        </is>
      </c>
      <c r="B31" s="15" t="inlineStr">
        <is>
          <t>Peshawar</t>
        </is>
      </c>
      <c r="C31" s="15" t="inlineStr">
        <is>
          <t>Miscellaneous</t>
        </is>
      </c>
      <c r="D31" s="14" t="n">
        <v>193000</v>
      </c>
      <c r="E31" s="17" t="n">
        <v>0.2</v>
      </c>
      <c r="F31" s="14" t="n">
        <v>17765</v>
      </c>
    </row>
    <row r="32">
      <c r="A32" s="7" t="inlineStr">
        <is>
          <t>ADM-MAR-QTA-2024-1027</t>
        </is>
      </c>
      <c r="B32" s="7" t="inlineStr">
        <is>
          <t>Quetta</t>
        </is>
      </c>
      <c r="C32" s="7" t="inlineStr">
        <is>
          <t>Marine Cargo</t>
        </is>
      </c>
      <c r="D32" s="11" t="n">
        <v>43000</v>
      </c>
      <c r="E32" s="13" t="n">
        <v>0.2</v>
      </c>
      <c r="F32" s="11" t="n">
        <v>32814</v>
      </c>
    </row>
    <row r="33">
      <c r="A33" s="15" t="inlineStr">
        <is>
          <t>ADM-ENG-HYD-2024-1028</t>
        </is>
      </c>
      <c r="B33" s="15" t="inlineStr">
        <is>
          <t>Hyderabad</t>
        </is>
      </c>
      <c r="C33" s="15" t="inlineStr">
        <is>
          <t>Engineering</t>
        </is>
      </c>
      <c r="D33" s="14" t="n">
        <v>27000</v>
      </c>
      <c r="E33" s="17" t="n">
        <v>0.2</v>
      </c>
      <c r="F33" s="14" t="n">
        <v>22858</v>
      </c>
    </row>
    <row r="35">
      <c r="A35" s="9" t="inlineStr">
        <is>
          <t>Table B — Statutory deductions</t>
        </is>
      </c>
    </row>
    <row r="36" ht="30" customHeight="1">
      <c r="A36" s="10" t="inlineStr">
        <is>
          <t>Item</t>
        </is>
      </c>
      <c r="B36" s="10" t="inlineStr">
        <is>
          <t>Rate</t>
        </is>
      </c>
    </row>
    <row r="37">
      <c r="A37" s="7" t="inlineStr">
        <is>
          <t>Federal Insurance Fee</t>
        </is>
      </c>
      <c r="B37" s="12" t="n">
        <v>0.01</v>
      </c>
    </row>
    <row r="38">
      <c r="A38" s="15" t="inlineStr">
        <is>
          <t>Stamp Duty</t>
        </is>
      </c>
      <c r="B38" s="16" t="n">
        <v>0.0015</v>
      </c>
    </row>
    <row r="39">
      <c r="A39" s="7" t="inlineStr">
        <is>
          <t>Sindh Sales Tax</t>
        </is>
      </c>
      <c r="B39" s="12" t="n">
        <v>0.13</v>
      </c>
    </row>
    <row r="41">
      <c r="A4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4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Net Premium Book for the technical accounts</t>
        </is>
      </c>
    </row>
    <row r="3">
      <c r="A3" s="21" t="inlineStr">
        <is>
          <t>Prepared for:</t>
        </is>
      </c>
      <c r="B3" s="22" t="inlineStr">
        <is>
          <t>Finance Manager — Technical Accounts</t>
        </is>
      </c>
    </row>
    <row r="4">
      <c r="A4" s="21" t="inlineStr">
        <is>
          <t>Prepared by:</t>
        </is>
      </c>
      <c r="B4" s="23" t="n"/>
    </row>
    <row r="5">
      <c r="A5" s="21" t="inlineStr">
        <is>
          <t>Reporting date:</t>
        </is>
      </c>
      <c r="B5" s="22" t="inlineStr">
        <is>
          <t>As at reporting date shown on the dataset</t>
        </is>
      </c>
    </row>
    <row r="7" ht="44" customHeight="1">
      <c r="A7" s="24" t="inlineStr">
        <is>
          <t>Net premium is gross less commission less federal insurance fee less stamp duty. The column is currently a normal formula copied down and last quarter a branch user overtyped four rows with values pasted from an email. The technical accounts were out by PKR 1.4 million and the difference took two days to find.</t>
        </is>
      </c>
    </row>
    <row r="9">
      <c r="A9" s="25" t="inlineStr">
        <is>
          <t>Source data: '2.3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Net Premium Book for the technical accounts</t>
        </is>
      </c>
      <c r="C13" s="38" t="inlineStr">
        <is>
          <t>A twenty-eight row Net Premium column entered as a single multi-cell array so no individual row can be overwritten, with the statutory rates taken from the deductions table rather than typed.</t>
        </is>
      </c>
      <c r="D13" s="37" t="inlineStr">
        <is>
          <t>Finance Manager — Technical Accounts</t>
        </is>
      </c>
      <c r="E13" s="31" t="n"/>
    </row>
    <row r="14" ht="52" customHeight="1">
      <c r="A14" s="35" t="n">
        <v>2</v>
      </c>
      <c r="B14" s="36" t="inlineStr">
        <is>
          <t>Loss Ratio column with the same protection</t>
        </is>
      </c>
      <c r="C14" s="38" t="inlineStr">
        <is>
          <t>A twenty-eight row Loss Ratio column, also entered as a multi-cell array, formatted 0.0%, returning a dash rather than an error where gross premium is zero.</t>
        </is>
      </c>
      <c r="D14" s="37" t="inlineStr">
        <is>
          <t>Finance Manager — Technical Accounts</t>
        </is>
      </c>
      <c r="E14" s="31" t="n"/>
    </row>
    <row r="15" ht="65" customHeight="1">
      <c r="A15" s="35" t="n">
        <v>3</v>
      </c>
      <c r="B15" s="36" t="inlineStr">
        <is>
          <t>Integrity evidence for the audit file</t>
        </is>
      </c>
      <c r="C15" s="38" t="inlineStr">
        <is>
          <t>Audit evidence in the yellow box: the exact message Excel shows when a single cell is edited, the keystroke that selects the entire array, and the correct procedure for deleting and rebuilding it.</t>
        </is>
      </c>
      <c r="D15" s="37" t="inlineStr">
        <is>
          <t>Head of Internal Audit</t>
        </is>
      </c>
      <c r="E15" s="31" t="n"/>
    </row>
    <row r="16" ht="65" customHeight="1">
      <c r="A16" s="35" t="n">
        <v>4</v>
      </c>
      <c r="B16" s="36" t="inlineStr">
        <is>
          <t>Control design note — array versus copied formula</t>
        </is>
      </c>
      <c r="C16" s="38" t="inlineStr">
        <is>
          <t>A two-line recommendation stating one advantage and one drawback of multi-cell arrays against a normal copied-down formula, with specific reference to what happens when a new policy row is inserted.</t>
        </is>
      </c>
      <c r="D16" s="37" t="inlineStr">
        <is>
          <t>Head of Internal Audit</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42.xml><?xml version="1.0" encoding="utf-8"?>
<worksheet xmlns="http://schemas.openxmlformats.org/spreadsheetml/2006/main">
  <sheetPr>
    <tabColor rgb="001F3864"/>
    <outlinePr summaryBelow="1" summaryRight="1"/>
    <pageSetUpPr/>
  </sheetPr>
  <dimension ref="A1:K51"/>
  <sheetViews>
    <sheetView showGridLines="0" workbookViewId="0">
      <pane ySplit="5" topLeftCell="A6" activePane="bottomLeft" state="frozen"/>
      <selection pane="bottomLeft" activeCell="A1" sqref="A1"/>
    </sheetView>
  </sheetViews>
  <sheetFormatPr baseColWidth="8" defaultRowHeight="15"/>
  <cols>
    <col width="24" customWidth="1" min="1" max="1"/>
    <col width="22" customWidth="1" min="2" max="2"/>
    <col width="12" customWidth="1" min="3" max="3"/>
    <col width="18" customWidth="1" min="4" max="4"/>
    <col width="16" customWidth="1" min="5" max="5"/>
    <col width="12" customWidth="1" min="6" max="6"/>
    <col width="18" customWidth="1" min="7" max="7"/>
    <col width="20" customWidth="1" min="8" max="8"/>
    <col width="20" customWidth="1" min="9" max="9"/>
    <col width="13" customWidth="1" min="10" max="10"/>
    <col width="14" customWidth="1" min="11" max="11"/>
  </cols>
  <sheetData>
    <row r="1" ht="26" customHeight="1">
      <c r="A1" s="1" t="inlineStr">
        <is>
          <t>Dataset 2.4  —  SUM with IF Array for Conditional Totals</t>
        </is>
      </c>
    </row>
    <row r="2" ht="16" customHeight="1">
      <c r="A2" s="2" t="inlineStr">
        <is>
          <t>Session 2: Array Formulas, Advanced Logic &amp; Named Ranges | Part A: Array Formulas (Ctrl+Shift+Enter)   |   Adamjee Assurance Company Limited (Pakistan) — training data, figures in PKR</t>
        </is>
      </c>
    </row>
    <row r="4">
      <c r="A4" s="9" t="inlineStr">
        <is>
          <t>Table A — Underwriting extract 2024</t>
        </is>
      </c>
    </row>
    <row r="5" ht="30" customHeight="1">
      <c r="A5" s="10" t="inlineStr">
        <is>
          <t>Policy No</t>
        </is>
      </c>
      <c r="B5" s="10" t="inlineStr">
        <is>
          <t>Branch</t>
        </is>
      </c>
      <c r="C5" s="10" t="inlineStr">
        <is>
          <t>Region</t>
        </is>
      </c>
      <c r="D5" s="10" t="inlineStr">
        <is>
          <t>Product</t>
        </is>
      </c>
      <c r="E5" s="10" t="inlineStr">
        <is>
          <t>Channel</t>
        </is>
      </c>
      <c r="F5" s="10" t="inlineStr">
        <is>
          <t>Month</t>
        </is>
      </c>
      <c r="G5" s="10" t="inlineStr">
        <is>
          <t>Sum Insured (PKR)</t>
        </is>
      </c>
      <c r="H5" s="10" t="inlineStr">
        <is>
          <t>Gross Premium (PKR)</t>
        </is>
      </c>
      <c r="I5" s="10" t="inlineStr">
        <is>
          <t>Claims Paid (PKR)</t>
        </is>
      </c>
      <c r="J5" s="10" t="inlineStr">
        <is>
          <t>Commission %</t>
        </is>
      </c>
      <c r="K5" s="10" t="inlineStr">
        <is>
          <t>Policy Status</t>
        </is>
      </c>
    </row>
    <row r="6">
      <c r="A6" s="7" t="inlineStr">
        <is>
          <t>ADM-FIR-KHI-2024-1001</t>
        </is>
      </c>
      <c r="B6" s="7" t="inlineStr">
        <is>
          <t>Karachi Main</t>
        </is>
      </c>
      <c r="C6" s="7" t="inlineStr">
        <is>
          <t>South</t>
        </is>
      </c>
      <c r="D6" s="7" t="inlineStr">
        <is>
          <t>Fire &amp; Property</t>
        </is>
      </c>
      <c r="E6" s="7" t="inlineStr">
        <is>
          <t>Direct</t>
        </is>
      </c>
      <c r="F6" s="7" t="inlineStr">
        <is>
          <t>Jan-2024</t>
        </is>
      </c>
      <c r="G6" s="11" t="n">
        <v>4500000</v>
      </c>
      <c r="H6" s="11" t="n">
        <v>96000</v>
      </c>
      <c r="I6" s="11" t="n">
        <v>96262</v>
      </c>
      <c r="J6" s="13" t="n">
        <v>0.15</v>
      </c>
      <c r="K6" s="7" t="inlineStr">
        <is>
          <t>Active</t>
        </is>
      </c>
    </row>
    <row r="7">
      <c r="A7" s="15" t="inlineStr">
        <is>
          <t>ADM-TRV-LHR-2024-1002</t>
        </is>
      </c>
      <c r="B7" s="15" t="inlineStr">
        <is>
          <t>Lahore Gulberg</t>
        </is>
      </c>
      <c r="C7" s="15" t="inlineStr">
        <is>
          <t>Central</t>
        </is>
      </c>
      <c r="D7" s="15" t="inlineStr">
        <is>
          <t>Travel</t>
        </is>
      </c>
      <c r="E7" s="15" t="inlineStr">
        <is>
          <t>Agency</t>
        </is>
      </c>
      <c r="F7" s="15" t="inlineStr">
        <is>
          <t>Feb-2024</t>
        </is>
      </c>
      <c r="G7" s="14" t="n">
        <v>12000000</v>
      </c>
      <c r="H7" s="14" t="n">
        <v>201000</v>
      </c>
      <c r="I7" s="14" t="n">
        <v>111595</v>
      </c>
      <c r="J7" s="17" t="n">
        <v>0.175</v>
      </c>
      <c r="K7" s="15" t="inlineStr">
        <is>
          <t>Active</t>
        </is>
      </c>
    </row>
    <row r="8">
      <c r="A8" s="7" t="inlineStr">
        <is>
          <t>ADM-MTR-ISB-2024-1003</t>
        </is>
      </c>
      <c r="B8" s="7" t="inlineStr">
        <is>
          <t>Islamabad Blue Area</t>
        </is>
      </c>
      <c r="C8" s="7" t="inlineStr">
        <is>
          <t>North</t>
        </is>
      </c>
      <c r="D8" s="7" t="inlineStr">
        <is>
          <t>Motor</t>
        </is>
      </c>
      <c r="E8" s="7" t="inlineStr">
        <is>
          <t>Bancassurance</t>
        </is>
      </c>
      <c r="F8" s="7" t="inlineStr">
        <is>
          <t>Mar-2024</t>
        </is>
      </c>
      <c r="G8" s="11" t="n">
        <v>65000000</v>
      </c>
      <c r="H8" s="11" t="n">
        <v>1397000</v>
      </c>
      <c r="I8" s="11" t="n">
        <v>1436098</v>
      </c>
      <c r="J8" s="13" t="n">
        <v>0.125</v>
      </c>
      <c r="K8" s="7" t="inlineStr">
        <is>
          <t>Active</t>
        </is>
      </c>
    </row>
    <row r="9">
      <c r="A9" s="15" t="inlineStr">
        <is>
          <t>ADM-HLT-FSD-2024-1004</t>
        </is>
      </c>
      <c r="B9" s="15" t="inlineStr">
        <is>
          <t>Faisalabad</t>
        </is>
      </c>
      <c r="C9" s="15" t="inlineStr">
        <is>
          <t>Central</t>
        </is>
      </c>
      <c r="D9" s="15" t="inlineStr">
        <is>
          <t>Health</t>
        </is>
      </c>
      <c r="E9" s="15" t="inlineStr">
        <is>
          <t>Corporate</t>
        </is>
      </c>
      <c r="F9" s="15" t="inlineStr">
        <is>
          <t>Apr-2024</t>
        </is>
      </c>
      <c r="G9" s="14" t="n">
        <v>18500000</v>
      </c>
      <c r="H9" s="14" t="n">
        <v>305000</v>
      </c>
      <c r="I9" s="14" t="n">
        <v>185930</v>
      </c>
      <c r="J9" s="17" t="n">
        <v>0.125</v>
      </c>
      <c r="K9" s="15" t="inlineStr">
        <is>
          <t>Cancelled</t>
        </is>
      </c>
    </row>
    <row r="10">
      <c r="A10" s="7" t="inlineStr">
        <is>
          <t>ADM-MSC-MUL-2024-1005</t>
        </is>
      </c>
      <c r="B10" s="7" t="inlineStr">
        <is>
          <t>Multan</t>
        </is>
      </c>
      <c r="C10" s="7" t="inlineStr">
        <is>
          <t>Central</t>
        </is>
      </c>
      <c r="D10" s="7" t="inlineStr">
        <is>
          <t>Miscellaneous</t>
        </is>
      </c>
      <c r="E10" s="7" t="inlineStr">
        <is>
          <t>Direct</t>
        </is>
      </c>
      <c r="F10" s="7" t="inlineStr">
        <is>
          <t>May-2024</t>
        </is>
      </c>
      <c r="G10" s="11" t="n">
        <v>4500000</v>
      </c>
      <c r="H10" s="11" t="n">
        <v>75000</v>
      </c>
      <c r="I10" s="11" t="n">
        <v>44061</v>
      </c>
      <c r="J10" s="13" t="n">
        <v>0.175</v>
      </c>
      <c r="K10" s="7" t="inlineStr">
        <is>
          <t>Active</t>
        </is>
      </c>
    </row>
    <row r="11">
      <c r="A11" s="15" t="inlineStr">
        <is>
          <t>ADM-MAR-PEW-2024-1006</t>
        </is>
      </c>
      <c r="B11" s="15" t="inlineStr">
        <is>
          <t>Peshawar</t>
        </is>
      </c>
      <c r="C11" s="15" t="inlineStr">
        <is>
          <t>North</t>
        </is>
      </c>
      <c r="D11" s="15" t="inlineStr">
        <is>
          <t>Marine Cargo</t>
        </is>
      </c>
      <c r="E11" s="15" t="inlineStr">
        <is>
          <t>Agency</t>
        </is>
      </c>
      <c r="F11" s="15" t="inlineStr">
        <is>
          <t>Jun-2024</t>
        </is>
      </c>
      <c r="G11" s="14" t="n">
        <v>25000000</v>
      </c>
      <c r="H11" s="14" t="n">
        <v>380000</v>
      </c>
      <c r="I11" s="14" t="n">
        <v>91249</v>
      </c>
      <c r="J11" s="17" t="n">
        <v>0.125</v>
      </c>
      <c r="K11" s="15" t="inlineStr">
        <is>
          <t>Active</t>
        </is>
      </c>
    </row>
    <row r="12">
      <c r="A12" s="7" t="inlineStr">
        <is>
          <t>ADM-ENG-QTA-2024-1007</t>
        </is>
      </c>
      <c r="B12" s="7" t="inlineStr">
        <is>
          <t>Quetta</t>
        </is>
      </c>
      <c r="C12" s="7" t="inlineStr">
        <is>
          <t>South</t>
        </is>
      </c>
      <c r="D12" s="7" t="inlineStr">
        <is>
          <t>Engineering</t>
        </is>
      </c>
      <c r="E12" s="7" t="inlineStr">
        <is>
          <t>Bancassurance</t>
        </is>
      </c>
      <c r="F12" s="7" t="inlineStr">
        <is>
          <t>Jul-2024</t>
        </is>
      </c>
      <c r="G12" s="11" t="n">
        <v>18500000</v>
      </c>
      <c r="H12" s="11" t="n">
        <v>227000</v>
      </c>
      <c r="I12" s="11" t="n">
        <v>78775</v>
      </c>
      <c r="J12" s="13" t="n">
        <v>0.125</v>
      </c>
      <c r="K12" s="7" t="inlineStr">
        <is>
          <t>Active</t>
        </is>
      </c>
    </row>
    <row r="13">
      <c r="A13" s="15" t="inlineStr">
        <is>
          <t>ADM-FIR-HYD-2024-1008</t>
        </is>
      </c>
      <c r="B13" s="15" t="inlineStr">
        <is>
          <t>Hyderabad</t>
        </is>
      </c>
      <c r="C13" s="15" t="inlineStr">
        <is>
          <t>South</t>
        </is>
      </c>
      <c r="D13" s="15" t="inlineStr">
        <is>
          <t>Fire &amp; Property</t>
        </is>
      </c>
      <c r="E13" s="15" t="inlineStr">
        <is>
          <t>Corporate</t>
        </is>
      </c>
      <c r="F13" s="15" t="inlineStr">
        <is>
          <t>Aug-2024</t>
        </is>
      </c>
      <c r="G13" s="14" t="n">
        <v>25000000</v>
      </c>
      <c r="H13" s="14" t="n">
        <v>290000</v>
      </c>
      <c r="I13" s="14" t="n">
        <v>249183</v>
      </c>
      <c r="J13" s="17" t="n">
        <v>0.125</v>
      </c>
      <c r="K13" s="15" t="inlineStr">
        <is>
          <t>Renewed</t>
        </is>
      </c>
    </row>
    <row r="14">
      <c r="A14" s="7" t="inlineStr">
        <is>
          <t>ADM-TRV-SKT-2024-1009</t>
        </is>
      </c>
      <c r="B14" s="7" t="inlineStr">
        <is>
          <t>Sialkot</t>
        </is>
      </c>
      <c r="C14" s="7" t="inlineStr">
        <is>
          <t>Central</t>
        </is>
      </c>
      <c r="D14" s="7" t="inlineStr">
        <is>
          <t>Travel</t>
        </is>
      </c>
      <c r="E14" s="7" t="inlineStr">
        <is>
          <t>Direct</t>
        </is>
      </c>
      <c r="F14" s="7" t="inlineStr">
        <is>
          <t>Sep-2024</t>
        </is>
      </c>
      <c r="G14" s="11" t="n">
        <v>7500000</v>
      </c>
      <c r="H14" s="11" t="n">
        <v>37000</v>
      </c>
      <c r="I14" s="11" t="n">
        <v>48145</v>
      </c>
      <c r="J14" s="13" t="n">
        <v>0.125</v>
      </c>
      <c r="K14" s="7" t="inlineStr">
        <is>
          <t>Active</t>
        </is>
      </c>
    </row>
    <row r="15">
      <c r="A15" s="15" t="inlineStr">
        <is>
          <t>ADM-MTR-RWP-2024-1010</t>
        </is>
      </c>
      <c r="B15" s="15" t="inlineStr">
        <is>
          <t>Rawalpindi</t>
        </is>
      </c>
      <c r="C15" s="15" t="inlineStr">
        <is>
          <t>North</t>
        </is>
      </c>
      <c r="D15" s="15" t="inlineStr">
        <is>
          <t>Motor</t>
        </is>
      </c>
      <c r="E15" s="15" t="inlineStr">
        <is>
          <t>Agency</t>
        </is>
      </c>
      <c r="F15" s="15" t="inlineStr">
        <is>
          <t>Oct-2024</t>
        </is>
      </c>
      <c r="G15" s="14" t="n">
        <v>65000000</v>
      </c>
      <c r="H15" s="14" t="n">
        <v>760000</v>
      </c>
      <c r="I15" s="14" t="n">
        <v>162016</v>
      </c>
      <c r="J15" s="17" t="n">
        <v>0.2</v>
      </c>
      <c r="K15" s="15" t="inlineStr">
        <is>
          <t>Cancelled</t>
        </is>
      </c>
    </row>
    <row r="16">
      <c r="A16" s="7" t="inlineStr">
        <is>
          <t>ADM-HLT-KHI-2024-1011</t>
        </is>
      </c>
      <c r="B16" s="7" t="inlineStr">
        <is>
          <t>Karachi Main</t>
        </is>
      </c>
      <c r="C16" s="7" t="inlineStr">
        <is>
          <t>South</t>
        </is>
      </c>
      <c r="D16" s="7" t="inlineStr">
        <is>
          <t>Health</t>
        </is>
      </c>
      <c r="E16" s="7" t="inlineStr">
        <is>
          <t>Bancassurance</t>
        </is>
      </c>
      <c r="F16" s="7" t="inlineStr">
        <is>
          <t>Nov-2024</t>
        </is>
      </c>
      <c r="G16" s="11" t="n">
        <v>90000000</v>
      </c>
      <c r="H16" s="11" t="n">
        <v>603000</v>
      </c>
      <c r="I16" s="11" t="n">
        <v>595704</v>
      </c>
      <c r="J16" s="13" t="n">
        <v>0.2</v>
      </c>
      <c r="K16" s="7" t="inlineStr">
        <is>
          <t>Active</t>
        </is>
      </c>
    </row>
    <row r="17">
      <c r="A17" s="15" t="inlineStr">
        <is>
          <t>ADM-MSC-LHR-2024-1012</t>
        </is>
      </c>
      <c r="B17" s="15" t="inlineStr">
        <is>
          <t>Lahore Gulberg</t>
        </is>
      </c>
      <c r="C17" s="15" t="inlineStr">
        <is>
          <t>Central</t>
        </is>
      </c>
      <c r="D17" s="15" t="inlineStr">
        <is>
          <t>Miscellaneous</t>
        </is>
      </c>
      <c r="E17" s="15" t="inlineStr">
        <is>
          <t>Corporate</t>
        </is>
      </c>
      <c r="F17" s="15" t="inlineStr">
        <is>
          <t>Dec-2024</t>
        </is>
      </c>
      <c r="G17" s="14" t="n">
        <v>40000000</v>
      </c>
      <c r="H17" s="14" t="n">
        <v>512000</v>
      </c>
      <c r="I17" s="14" t="n">
        <v>394713</v>
      </c>
      <c r="J17" s="17" t="n">
        <v>0.125</v>
      </c>
      <c r="K17" s="15" t="inlineStr">
        <is>
          <t>Active</t>
        </is>
      </c>
    </row>
    <row r="18">
      <c r="A18" s="7" t="inlineStr">
        <is>
          <t>ADM-MAR-ISB-2024-1013</t>
        </is>
      </c>
      <c r="B18" s="7" t="inlineStr">
        <is>
          <t>Islamabad Blue Area</t>
        </is>
      </c>
      <c r="C18" s="7" t="inlineStr">
        <is>
          <t>North</t>
        </is>
      </c>
      <c r="D18" s="7" t="inlineStr">
        <is>
          <t>Marine Cargo</t>
        </is>
      </c>
      <c r="E18" s="7" t="inlineStr">
        <is>
          <t>Direct</t>
        </is>
      </c>
      <c r="F18" s="7" t="inlineStr">
        <is>
          <t>Jan-2024</t>
        </is>
      </c>
      <c r="G18" s="11" t="n">
        <v>90000000</v>
      </c>
      <c r="H18" s="11" t="n">
        <v>2169000</v>
      </c>
      <c r="I18" s="11" t="n">
        <v>2687419</v>
      </c>
      <c r="J18" s="13" t="n">
        <v>0.125</v>
      </c>
      <c r="K18" s="7" t="inlineStr">
        <is>
          <t>Active</t>
        </is>
      </c>
    </row>
    <row r="19">
      <c r="A19" s="15" t="inlineStr">
        <is>
          <t>ADM-ENG-FSD-2024-1014</t>
        </is>
      </c>
      <c r="B19" s="15" t="inlineStr">
        <is>
          <t>Faisalabad</t>
        </is>
      </c>
      <c r="C19" s="15" t="inlineStr">
        <is>
          <t>Central</t>
        </is>
      </c>
      <c r="D19" s="15" t="inlineStr">
        <is>
          <t>Engineering</t>
        </is>
      </c>
      <c r="E19" s="15" t="inlineStr">
        <is>
          <t>Agency</t>
        </is>
      </c>
      <c r="F19" s="15" t="inlineStr">
        <is>
          <t>Feb-2024</t>
        </is>
      </c>
      <c r="G19" s="14" t="n">
        <v>90000000</v>
      </c>
      <c r="H19" s="14" t="n">
        <v>1089000</v>
      </c>
      <c r="I19" s="14" t="n">
        <v>1020517</v>
      </c>
      <c r="J19" s="17" t="n">
        <v>0.175</v>
      </c>
      <c r="K19" s="15" t="inlineStr">
        <is>
          <t>Active</t>
        </is>
      </c>
    </row>
    <row r="20">
      <c r="A20" s="7" t="inlineStr">
        <is>
          <t>ADM-FIR-MUL-2024-1015</t>
        </is>
      </c>
      <c r="B20" s="7" t="inlineStr">
        <is>
          <t>Multan</t>
        </is>
      </c>
      <c r="C20" s="7" t="inlineStr">
        <is>
          <t>Central</t>
        </is>
      </c>
      <c r="D20" s="7" t="inlineStr">
        <is>
          <t>Fire &amp; Property</t>
        </is>
      </c>
      <c r="E20" s="7" t="inlineStr">
        <is>
          <t>Bancassurance</t>
        </is>
      </c>
      <c r="F20" s="7" t="inlineStr">
        <is>
          <t>Mar-2024</t>
        </is>
      </c>
      <c r="G20" s="11" t="n">
        <v>18500000</v>
      </c>
      <c r="H20" s="11" t="n">
        <v>484000</v>
      </c>
      <c r="I20" s="11" t="n">
        <v>575693</v>
      </c>
      <c r="J20" s="13" t="n">
        <v>0.2</v>
      </c>
      <c r="K20" s="7" t="inlineStr">
        <is>
          <t>Cancelled</t>
        </is>
      </c>
    </row>
    <row r="21">
      <c r="A21" s="15" t="inlineStr">
        <is>
          <t>ADM-TRV-PEW-2024-1016</t>
        </is>
      </c>
      <c r="B21" s="15" t="inlineStr">
        <is>
          <t>Peshawar</t>
        </is>
      </c>
      <c r="C21" s="15" t="inlineStr">
        <is>
          <t>North</t>
        </is>
      </c>
      <c r="D21" s="15" t="inlineStr">
        <is>
          <t>Travel</t>
        </is>
      </c>
      <c r="E21" s="15" t="inlineStr">
        <is>
          <t>Corporate</t>
        </is>
      </c>
      <c r="F21" s="15" t="inlineStr">
        <is>
          <t>Apr-2024</t>
        </is>
      </c>
      <c r="G21" s="14" t="n">
        <v>2800000</v>
      </c>
      <c r="H21" s="14" t="n">
        <v>74000</v>
      </c>
      <c r="I21" s="14" t="n">
        <v>114737</v>
      </c>
      <c r="J21" s="17" t="n">
        <v>0.125</v>
      </c>
      <c r="K21" s="15" t="inlineStr">
        <is>
          <t>Active</t>
        </is>
      </c>
    </row>
    <row r="22">
      <c r="A22" s="7" t="inlineStr">
        <is>
          <t>ADM-MTR-QTA-2024-1017</t>
        </is>
      </c>
      <c r="B22" s="7" t="inlineStr">
        <is>
          <t>Quetta</t>
        </is>
      </c>
      <c r="C22" s="7" t="inlineStr">
        <is>
          <t>South</t>
        </is>
      </c>
      <c r="D22" s="7" t="inlineStr">
        <is>
          <t>Motor</t>
        </is>
      </c>
      <c r="E22" s="7" t="inlineStr">
        <is>
          <t>Direct</t>
        </is>
      </c>
      <c r="F22" s="7" t="inlineStr">
        <is>
          <t>May-2024</t>
        </is>
      </c>
      <c r="G22" s="11" t="n">
        <v>40000000</v>
      </c>
      <c r="H22" s="11" t="n">
        <v>835000</v>
      </c>
      <c r="I22" s="11" t="n">
        <v>672109</v>
      </c>
      <c r="J22" s="13" t="n">
        <v>0.15</v>
      </c>
      <c r="K22" s="7" t="inlineStr">
        <is>
          <t>Active</t>
        </is>
      </c>
    </row>
    <row r="23">
      <c r="A23" s="15" t="inlineStr">
        <is>
          <t>ADM-HLT-HYD-2024-1018</t>
        </is>
      </c>
      <c r="B23" s="15" t="inlineStr">
        <is>
          <t>Hyderabad</t>
        </is>
      </c>
      <c r="C23" s="15" t="inlineStr">
        <is>
          <t>South</t>
        </is>
      </c>
      <c r="D23" s="15" t="inlineStr">
        <is>
          <t>Health</t>
        </is>
      </c>
      <c r="E23" s="15" t="inlineStr">
        <is>
          <t>Agency</t>
        </is>
      </c>
      <c r="F23" s="15" t="inlineStr">
        <is>
          <t>Jun-2024</t>
        </is>
      </c>
      <c r="G23" s="14" t="n">
        <v>7500000</v>
      </c>
      <c r="H23" s="14" t="n">
        <v>174000</v>
      </c>
      <c r="I23" s="14" t="n">
        <v>259300</v>
      </c>
      <c r="J23" s="17" t="n">
        <v>0.125</v>
      </c>
      <c r="K23" s="15" t="inlineStr">
        <is>
          <t>Cancelled</t>
        </is>
      </c>
    </row>
    <row r="24">
      <c r="A24" s="7" t="inlineStr">
        <is>
          <t>ADM-MSC-SKT-2024-1019</t>
        </is>
      </c>
      <c r="B24" s="7" t="inlineStr">
        <is>
          <t>Sialkot</t>
        </is>
      </c>
      <c r="C24" s="7" t="inlineStr">
        <is>
          <t>Central</t>
        </is>
      </c>
      <c r="D24" s="7" t="inlineStr">
        <is>
          <t>Miscellaneous</t>
        </is>
      </c>
      <c r="E24" s="7" t="inlineStr">
        <is>
          <t>Bancassurance</t>
        </is>
      </c>
      <c r="F24" s="7" t="inlineStr">
        <is>
          <t>Jul-2024</t>
        </is>
      </c>
      <c r="G24" s="11" t="n">
        <v>90000000</v>
      </c>
      <c r="H24" s="11" t="n">
        <v>927000</v>
      </c>
      <c r="I24" s="11" t="n">
        <v>505938</v>
      </c>
      <c r="J24" s="13" t="n">
        <v>0.2</v>
      </c>
      <c r="K24" s="7" t="inlineStr">
        <is>
          <t>Renewed</t>
        </is>
      </c>
    </row>
    <row r="25">
      <c r="A25" s="15" t="inlineStr">
        <is>
          <t>ADM-MAR-RWP-2024-1020</t>
        </is>
      </c>
      <c r="B25" s="15" t="inlineStr">
        <is>
          <t>Rawalpindi</t>
        </is>
      </c>
      <c r="C25" s="15" t="inlineStr">
        <is>
          <t>North</t>
        </is>
      </c>
      <c r="D25" s="15" t="inlineStr">
        <is>
          <t>Marine Cargo</t>
        </is>
      </c>
      <c r="E25" s="15" t="inlineStr">
        <is>
          <t>Corporate</t>
        </is>
      </c>
      <c r="F25" s="15" t="inlineStr">
        <is>
          <t>Aug-2024</t>
        </is>
      </c>
      <c r="G25" s="14" t="n">
        <v>7500000</v>
      </c>
      <c r="H25" s="14" t="n">
        <v>181000</v>
      </c>
      <c r="I25" s="14" t="n">
        <v>181691</v>
      </c>
      <c r="J25" s="17" t="n">
        <v>0.15</v>
      </c>
      <c r="K25" s="15" t="inlineStr">
        <is>
          <t>Active</t>
        </is>
      </c>
    </row>
    <row r="26">
      <c r="A26" s="7" t="inlineStr">
        <is>
          <t>ADM-ENG-KHI-2024-1021</t>
        </is>
      </c>
      <c r="B26" s="7" t="inlineStr">
        <is>
          <t>Karachi Main</t>
        </is>
      </c>
      <c r="C26" s="7" t="inlineStr">
        <is>
          <t>South</t>
        </is>
      </c>
      <c r="D26" s="7" t="inlineStr">
        <is>
          <t>Engineering</t>
        </is>
      </c>
      <c r="E26" s="7" t="inlineStr">
        <is>
          <t>Direct</t>
        </is>
      </c>
      <c r="F26" s="7" t="inlineStr">
        <is>
          <t>Sep-2024</t>
        </is>
      </c>
      <c r="G26" s="11" t="n">
        <v>4500000</v>
      </c>
      <c r="H26" s="11" t="n">
        <v>78000</v>
      </c>
      <c r="I26" s="11" t="n">
        <v>32635</v>
      </c>
      <c r="J26" s="13" t="n">
        <v>0.15</v>
      </c>
      <c r="K26" s="7" t="inlineStr">
        <is>
          <t>Lapsed</t>
        </is>
      </c>
    </row>
    <row r="27">
      <c r="A27" s="15" t="inlineStr">
        <is>
          <t>ADM-FIR-LHR-2024-1022</t>
        </is>
      </c>
      <c r="B27" s="15" t="inlineStr">
        <is>
          <t>Lahore Gulberg</t>
        </is>
      </c>
      <c r="C27" s="15" t="inlineStr">
        <is>
          <t>Central</t>
        </is>
      </c>
      <c r="D27" s="15" t="inlineStr">
        <is>
          <t>Fire &amp; Property</t>
        </is>
      </c>
      <c r="E27" s="15" t="inlineStr">
        <is>
          <t>Agency</t>
        </is>
      </c>
      <c r="F27" s="15" t="inlineStr">
        <is>
          <t>Oct-2024</t>
        </is>
      </c>
      <c r="G27" s="14" t="n">
        <v>40000000</v>
      </c>
      <c r="H27" s="14" t="n">
        <v>368000</v>
      </c>
      <c r="I27" s="14" t="n">
        <v>117086</v>
      </c>
      <c r="J27" s="17" t="n">
        <v>0.125</v>
      </c>
      <c r="K27" s="15" t="inlineStr">
        <is>
          <t>Renewed</t>
        </is>
      </c>
    </row>
    <row r="28">
      <c r="A28" s="7" t="inlineStr">
        <is>
          <t>ADM-TRV-ISB-2024-1023</t>
        </is>
      </c>
      <c r="B28" s="7" t="inlineStr">
        <is>
          <t>Islamabad Blue Area</t>
        </is>
      </c>
      <c r="C28" s="7" t="inlineStr">
        <is>
          <t>North</t>
        </is>
      </c>
      <c r="D28" s="7" t="inlineStr">
        <is>
          <t>Travel</t>
        </is>
      </c>
      <c r="E28" s="7" t="inlineStr">
        <is>
          <t>Bancassurance</t>
        </is>
      </c>
      <c r="F28" s="7" t="inlineStr">
        <is>
          <t>Nov-2024</t>
        </is>
      </c>
      <c r="G28" s="11" t="n">
        <v>65000000</v>
      </c>
      <c r="H28" s="11" t="n">
        <v>1586000</v>
      </c>
      <c r="I28" s="11" t="n">
        <v>625762</v>
      </c>
      <c r="J28" s="13" t="n">
        <v>0.15</v>
      </c>
      <c r="K28" s="7" t="inlineStr">
        <is>
          <t>Active</t>
        </is>
      </c>
    </row>
    <row r="29">
      <c r="A29" s="15" t="inlineStr">
        <is>
          <t>ADM-MTR-FSD-2024-1024</t>
        </is>
      </c>
      <c r="B29" s="15" t="inlineStr">
        <is>
          <t>Faisalabad</t>
        </is>
      </c>
      <c r="C29" s="15" t="inlineStr">
        <is>
          <t>Central</t>
        </is>
      </c>
      <c r="D29" s="15" t="inlineStr">
        <is>
          <t>Motor</t>
        </is>
      </c>
      <c r="E29" s="15" t="inlineStr">
        <is>
          <t>Corporate</t>
        </is>
      </c>
      <c r="F29" s="15" t="inlineStr">
        <is>
          <t>Dec-2024</t>
        </is>
      </c>
      <c r="G29" s="14" t="n">
        <v>90000000</v>
      </c>
      <c r="H29" s="14" t="n">
        <v>2304000</v>
      </c>
      <c r="I29" s="14" t="n">
        <v>2938527</v>
      </c>
      <c r="J29" s="17" t="n">
        <v>0.2</v>
      </c>
      <c r="K29" s="15" t="inlineStr">
        <is>
          <t>Renewed</t>
        </is>
      </c>
    </row>
    <row r="30">
      <c r="A30" s="7" t="inlineStr">
        <is>
          <t>ADM-HLT-MUL-2024-1025</t>
        </is>
      </c>
      <c r="B30" s="7" t="inlineStr">
        <is>
          <t>Multan</t>
        </is>
      </c>
      <c r="C30" s="7" t="inlineStr">
        <is>
          <t>Central</t>
        </is>
      </c>
      <c r="D30" s="7" t="inlineStr">
        <is>
          <t>Health</t>
        </is>
      </c>
      <c r="E30" s="7" t="inlineStr">
        <is>
          <t>Direct</t>
        </is>
      </c>
      <c r="F30" s="7" t="inlineStr">
        <is>
          <t>Jan-2024</t>
        </is>
      </c>
      <c r="G30" s="11" t="n">
        <v>2800000</v>
      </c>
      <c r="H30" s="11" t="n">
        <v>19000</v>
      </c>
      <c r="I30" s="11" t="n">
        <v>28171</v>
      </c>
      <c r="J30" s="13" t="n">
        <v>0.1</v>
      </c>
      <c r="K30" s="7" t="inlineStr">
        <is>
          <t>Lapsed</t>
        </is>
      </c>
    </row>
    <row r="31">
      <c r="A31" s="15" t="inlineStr">
        <is>
          <t>ADM-MSC-PEW-2024-1026</t>
        </is>
      </c>
      <c r="B31" s="15" t="inlineStr">
        <is>
          <t>Peshawar</t>
        </is>
      </c>
      <c r="C31" s="15" t="inlineStr">
        <is>
          <t>North</t>
        </is>
      </c>
      <c r="D31" s="15" t="inlineStr">
        <is>
          <t>Miscellaneous</t>
        </is>
      </c>
      <c r="E31" s="15" t="inlineStr">
        <is>
          <t>Agency</t>
        </is>
      </c>
      <c r="F31" s="15" t="inlineStr">
        <is>
          <t>Feb-2024</t>
        </is>
      </c>
      <c r="G31" s="14" t="n">
        <v>7500000</v>
      </c>
      <c r="H31" s="14" t="n">
        <v>193000</v>
      </c>
      <c r="I31" s="14" t="n">
        <v>17765</v>
      </c>
      <c r="J31" s="17" t="n">
        <v>0.2</v>
      </c>
      <c r="K31" s="15" t="inlineStr">
        <is>
          <t>Active</t>
        </is>
      </c>
    </row>
    <row r="32">
      <c r="A32" s="7" t="inlineStr">
        <is>
          <t>ADM-MAR-QTA-2024-1027</t>
        </is>
      </c>
      <c r="B32" s="7" t="inlineStr">
        <is>
          <t>Quetta</t>
        </is>
      </c>
      <c r="C32" s="7" t="inlineStr">
        <is>
          <t>South</t>
        </is>
      </c>
      <c r="D32" s="7" t="inlineStr">
        <is>
          <t>Marine Cargo</t>
        </is>
      </c>
      <c r="E32" s="7" t="inlineStr">
        <is>
          <t>Bancassurance</t>
        </is>
      </c>
      <c r="F32" s="7" t="inlineStr">
        <is>
          <t>Mar-2024</t>
        </is>
      </c>
      <c r="G32" s="11" t="n">
        <v>4500000</v>
      </c>
      <c r="H32" s="11" t="n">
        <v>43000</v>
      </c>
      <c r="I32" s="11" t="n">
        <v>32814</v>
      </c>
      <c r="J32" s="13" t="n">
        <v>0.2</v>
      </c>
      <c r="K32" s="7" t="inlineStr">
        <is>
          <t>Cancelled</t>
        </is>
      </c>
    </row>
    <row r="33">
      <c r="A33" s="15" t="inlineStr">
        <is>
          <t>ADM-ENG-HYD-2024-1028</t>
        </is>
      </c>
      <c r="B33" s="15" t="inlineStr">
        <is>
          <t>Hyderabad</t>
        </is>
      </c>
      <c r="C33" s="15" t="inlineStr">
        <is>
          <t>South</t>
        </is>
      </c>
      <c r="D33" s="15" t="inlineStr">
        <is>
          <t>Engineering</t>
        </is>
      </c>
      <c r="E33" s="15" t="inlineStr">
        <is>
          <t>Corporate</t>
        </is>
      </c>
      <c r="F33" s="15" t="inlineStr">
        <is>
          <t>Apr-2024</t>
        </is>
      </c>
      <c r="G33" s="14" t="n">
        <v>4500000</v>
      </c>
      <c r="H33" s="14" t="n">
        <v>27000</v>
      </c>
      <c r="I33" s="14" t="n">
        <v>22858</v>
      </c>
      <c r="J33" s="17" t="n">
        <v>0.2</v>
      </c>
      <c r="K33" s="15" t="inlineStr">
        <is>
          <t>Active</t>
        </is>
      </c>
    </row>
    <row r="34">
      <c r="A34" s="7" t="inlineStr">
        <is>
          <t>ADM-FIR-SKT-2024-1029</t>
        </is>
      </c>
      <c r="B34" s="7" t="inlineStr">
        <is>
          <t>Sialkot</t>
        </is>
      </c>
      <c r="C34" s="7" t="inlineStr">
        <is>
          <t>Central</t>
        </is>
      </c>
      <c r="D34" s="7" t="inlineStr">
        <is>
          <t>Fire &amp; Property</t>
        </is>
      </c>
      <c r="E34" s="7" t="inlineStr">
        <is>
          <t>Direct</t>
        </is>
      </c>
      <c r="F34" s="7" t="inlineStr">
        <is>
          <t>May-2024</t>
        </is>
      </c>
      <c r="G34" s="11" t="n">
        <v>65000000</v>
      </c>
      <c r="H34" s="11" t="n">
        <v>1527000</v>
      </c>
      <c r="I34" s="11" t="n">
        <v>181283</v>
      </c>
      <c r="J34" s="13" t="n">
        <v>0.2</v>
      </c>
      <c r="K34" s="7" t="inlineStr">
        <is>
          <t>Cancelled</t>
        </is>
      </c>
    </row>
    <row r="35">
      <c r="A35" s="15" t="inlineStr">
        <is>
          <t>ADM-TRV-RWP-2024-1030</t>
        </is>
      </c>
      <c r="B35" s="15" t="inlineStr">
        <is>
          <t>Rawalpindi</t>
        </is>
      </c>
      <c r="C35" s="15" t="inlineStr">
        <is>
          <t>North</t>
        </is>
      </c>
      <c r="D35" s="15" t="inlineStr">
        <is>
          <t>Travel</t>
        </is>
      </c>
      <c r="E35" s="15" t="inlineStr">
        <is>
          <t>Agency</t>
        </is>
      </c>
      <c r="F35" s="15" t="inlineStr">
        <is>
          <t>Jun-2024</t>
        </is>
      </c>
      <c r="G35" s="14" t="n">
        <v>90000000</v>
      </c>
      <c r="H35" s="14" t="n">
        <v>594000</v>
      </c>
      <c r="I35" s="14" t="n">
        <v>713976</v>
      </c>
      <c r="J35" s="17" t="n">
        <v>0.125</v>
      </c>
      <c r="K35" s="15" t="inlineStr">
        <is>
          <t>Lapsed</t>
        </is>
      </c>
    </row>
    <row r="36">
      <c r="A36" s="7" t="inlineStr">
        <is>
          <t>ADM-MTR-KHI-2024-1031</t>
        </is>
      </c>
      <c r="B36" s="7" t="inlineStr">
        <is>
          <t>Karachi Main</t>
        </is>
      </c>
      <c r="C36" s="7" t="inlineStr">
        <is>
          <t>South</t>
        </is>
      </c>
      <c r="D36" s="7" t="inlineStr">
        <is>
          <t>Motor</t>
        </is>
      </c>
      <c r="E36" s="7" t="inlineStr">
        <is>
          <t>Bancassurance</t>
        </is>
      </c>
      <c r="F36" s="7" t="inlineStr">
        <is>
          <t>Jul-2024</t>
        </is>
      </c>
      <c r="G36" s="11" t="n">
        <v>1500000</v>
      </c>
      <c r="H36" s="11" t="n">
        <v>10000</v>
      </c>
      <c r="I36" s="11" t="n">
        <v>3023</v>
      </c>
      <c r="J36" s="13" t="n">
        <v>0.1</v>
      </c>
      <c r="K36" s="7" t="inlineStr">
        <is>
          <t>Active</t>
        </is>
      </c>
    </row>
    <row r="37">
      <c r="A37" s="15" t="inlineStr">
        <is>
          <t>ADM-HLT-LHR-2024-1032</t>
        </is>
      </c>
      <c r="B37" s="15" t="inlineStr">
        <is>
          <t>Lahore Gulberg</t>
        </is>
      </c>
      <c r="C37" s="15" t="inlineStr">
        <is>
          <t>Central</t>
        </is>
      </c>
      <c r="D37" s="15" t="inlineStr">
        <is>
          <t>Health</t>
        </is>
      </c>
      <c r="E37" s="15" t="inlineStr">
        <is>
          <t>Corporate</t>
        </is>
      </c>
      <c r="F37" s="15" t="inlineStr">
        <is>
          <t>Aug-2024</t>
        </is>
      </c>
      <c r="G37" s="14" t="n">
        <v>2800000</v>
      </c>
      <c r="H37" s="14" t="n">
        <v>53000</v>
      </c>
      <c r="I37" s="14" t="n">
        <v>77663</v>
      </c>
      <c r="J37" s="17" t="n">
        <v>0.2</v>
      </c>
      <c r="K37" s="15" t="inlineStr">
        <is>
          <t>Cancelled</t>
        </is>
      </c>
    </row>
    <row r="38">
      <c r="A38" s="7" t="inlineStr">
        <is>
          <t>ADM-MSC-ISB-2024-1033</t>
        </is>
      </c>
      <c r="B38" s="7" t="inlineStr">
        <is>
          <t>Islamabad Blue Area</t>
        </is>
      </c>
      <c r="C38" s="7" t="inlineStr">
        <is>
          <t>North</t>
        </is>
      </c>
      <c r="D38" s="7" t="inlineStr">
        <is>
          <t>Miscellaneous</t>
        </is>
      </c>
      <c r="E38" s="7" t="inlineStr">
        <is>
          <t>Direct</t>
        </is>
      </c>
      <c r="F38" s="7" t="inlineStr">
        <is>
          <t>Sep-2024</t>
        </is>
      </c>
      <c r="G38" s="11" t="n">
        <v>7500000</v>
      </c>
      <c r="H38" s="11" t="n">
        <v>134000</v>
      </c>
      <c r="I38" s="11" t="n">
        <v>126532</v>
      </c>
      <c r="J38" s="13" t="n">
        <v>0.125</v>
      </c>
      <c r="K38" s="7" t="inlineStr">
        <is>
          <t>Renewed</t>
        </is>
      </c>
    </row>
    <row r="39">
      <c r="A39" s="15" t="inlineStr">
        <is>
          <t>ADM-MAR-FSD-2024-1034</t>
        </is>
      </c>
      <c r="B39" s="15" t="inlineStr">
        <is>
          <t>Faisalabad</t>
        </is>
      </c>
      <c r="C39" s="15" t="inlineStr">
        <is>
          <t>Central</t>
        </is>
      </c>
      <c r="D39" s="15" t="inlineStr">
        <is>
          <t>Marine Cargo</t>
        </is>
      </c>
      <c r="E39" s="15" t="inlineStr">
        <is>
          <t>Agency</t>
        </is>
      </c>
      <c r="F39" s="15" t="inlineStr">
        <is>
          <t>Oct-2024</t>
        </is>
      </c>
      <c r="G39" s="14" t="n">
        <v>40000000</v>
      </c>
      <c r="H39" s="14" t="n">
        <v>460000</v>
      </c>
      <c r="I39" s="14" t="n">
        <v>187356</v>
      </c>
      <c r="J39" s="17" t="n">
        <v>0.175</v>
      </c>
      <c r="K39" s="15" t="inlineStr">
        <is>
          <t>Cancelled</t>
        </is>
      </c>
    </row>
    <row r="40">
      <c r="A40" s="7" t="inlineStr">
        <is>
          <t>ADM-ENG-MUL-2024-1035</t>
        </is>
      </c>
      <c r="B40" s="7" t="inlineStr">
        <is>
          <t>Multan</t>
        </is>
      </c>
      <c r="C40" s="7" t="inlineStr">
        <is>
          <t>Central</t>
        </is>
      </c>
      <c r="D40" s="7" t="inlineStr">
        <is>
          <t>Engineering</t>
        </is>
      </c>
      <c r="E40" s="7" t="inlineStr">
        <is>
          <t>Bancassurance</t>
        </is>
      </c>
      <c r="F40" s="7" t="inlineStr">
        <is>
          <t>Nov-2024</t>
        </is>
      </c>
      <c r="G40" s="11" t="n">
        <v>7500000</v>
      </c>
      <c r="H40" s="11" t="n">
        <v>102000</v>
      </c>
      <c r="I40" s="11" t="n">
        <v>94948</v>
      </c>
      <c r="J40" s="13" t="n">
        <v>0.175</v>
      </c>
      <c r="K40" s="7" t="inlineStr">
        <is>
          <t>Renewed</t>
        </is>
      </c>
    </row>
    <row r="41">
      <c r="A41" s="15" t="inlineStr">
        <is>
          <t>ADM-FIR-PEW-2024-1036</t>
        </is>
      </c>
      <c r="B41" s="15" t="inlineStr">
        <is>
          <t>Peshawar</t>
        </is>
      </c>
      <c r="C41" s="15" t="inlineStr">
        <is>
          <t>North</t>
        </is>
      </c>
      <c r="D41" s="15" t="inlineStr">
        <is>
          <t>Fire &amp; Property</t>
        </is>
      </c>
      <c r="E41" s="15" t="inlineStr">
        <is>
          <t>Corporate</t>
        </is>
      </c>
      <c r="F41" s="15" t="inlineStr">
        <is>
          <t>Dec-2024</t>
        </is>
      </c>
      <c r="G41" s="14" t="n">
        <v>4500000</v>
      </c>
      <c r="H41" s="14" t="n">
        <v>113000</v>
      </c>
      <c r="I41" s="14" t="n">
        <v>125166</v>
      </c>
      <c r="J41" s="17" t="n">
        <v>0.125</v>
      </c>
      <c r="K41" s="15" t="inlineStr">
        <is>
          <t>Active</t>
        </is>
      </c>
    </row>
    <row r="43">
      <c r="A43" s="9" t="inlineStr">
        <is>
          <t>Table B — Criteria</t>
        </is>
      </c>
    </row>
    <row r="44" ht="30" customHeight="1">
      <c r="A44" s="10" t="inlineStr">
        <is>
          <t>Criteria</t>
        </is>
      </c>
      <c r="B44" s="10" t="inlineStr">
        <is>
          <t>Value</t>
        </is>
      </c>
    </row>
    <row r="45">
      <c r="A45" s="7" t="inlineStr">
        <is>
          <t>Branch</t>
        </is>
      </c>
      <c r="B45" s="7" t="inlineStr">
        <is>
          <t>Karachi Main</t>
        </is>
      </c>
    </row>
    <row r="46">
      <c r="A46" s="15" t="inlineStr">
        <is>
          <t>Product</t>
        </is>
      </c>
      <c r="B46" s="15" t="inlineStr">
        <is>
          <t>Fire &amp; Property</t>
        </is>
      </c>
    </row>
    <row r="47">
      <c r="A47" s="7" t="inlineStr">
        <is>
          <t>Region</t>
        </is>
      </c>
      <c r="B47" s="7" t="inlineStr">
        <is>
          <t>South</t>
        </is>
      </c>
    </row>
    <row r="48">
      <c r="A48" s="15" t="inlineStr">
        <is>
          <t>Quarter start month</t>
        </is>
      </c>
      <c r="B48" s="15" t="inlineStr">
        <is>
          <t>Jan-2024</t>
        </is>
      </c>
    </row>
    <row r="49">
      <c r="A49" s="7" t="inlineStr">
        <is>
          <t>Quarter end month</t>
        </is>
      </c>
      <c r="B49" s="7" t="inlineStr">
        <is>
          <t>Mar-2024</t>
        </is>
      </c>
    </row>
    <row r="51">
      <c r="A5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4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Above-average producer analysis</t>
        </is>
      </c>
    </row>
    <row r="3">
      <c r="A3" s="21" t="inlineStr">
        <is>
          <t>Prepared for:</t>
        </is>
      </c>
      <c r="B3" s="22" t="inlineStr">
        <is>
          <t>Head of Agency Distribution</t>
        </is>
      </c>
    </row>
    <row r="4">
      <c r="A4" s="21" t="inlineStr">
        <is>
          <t>Prepared by:</t>
        </is>
      </c>
      <c r="B4" s="23" t="n"/>
    </row>
    <row r="5">
      <c r="A5" s="21" t="inlineStr">
        <is>
          <t>Reporting date:</t>
        </is>
      </c>
      <c r="B5" s="22" t="inlineStr">
        <is>
          <t>As at reporting date shown on the dataset</t>
        </is>
      </c>
    </row>
    <row r="7" ht="44" customHeight="1">
      <c r="A7" s="24" t="inlineStr">
        <is>
          <t>The commission review asks which policies in each branch are written above that branch's own average premium, because those are the accounts worth defending at renewal. SUMIFS cannot answer it, so the analysis has been done branch by branch with manual filters and has not been refreshed since March.</t>
        </is>
      </c>
    </row>
    <row r="9">
      <c r="A9" s="25" t="inlineStr">
        <is>
          <t>Source data: '2.4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Above-average producer analysis</t>
        </is>
      </c>
      <c r="C13" s="38" t="inlineStr">
        <is>
          <t>An analysis block per branch: Branch | Total Premium | Average Premium | Total Premium of policies above that branch average | Count of those policies | Share of branch premium they represent.</t>
        </is>
      </c>
      <c r="D13" s="37" t="inlineStr">
        <is>
          <t>Head of Agency Distribution</t>
        </is>
      </c>
      <c r="E13" s="31" t="n"/>
    </row>
    <row r="14" ht="52" customHeight="1">
      <c r="A14" s="35" t="n">
        <v>2</v>
      </c>
      <c r="B14" s="36" t="inlineStr">
        <is>
          <t>Q1 premium total on an inherited workbook</t>
        </is>
      </c>
      <c r="C14" s="38" t="inlineStr">
        <is>
          <t>A reconciliation showing the Q1 total for the selected branch and product computed two ways — with SUM(IF()) and with SUMIFS — and the difference between them, which must be zero.</t>
        </is>
      </c>
      <c r="D14" s="37" t="inlineStr">
        <is>
          <t>Head of Management Reporting</t>
        </is>
      </c>
      <c r="E14" s="31" t="n"/>
    </row>
    <row r="15" ht="52" customHeight="1">
      <c r="A15" s="35" t="n">
        <v>3</v>
      </c>
      <c r="B15" s="36" t="inlineStr">
        <is>
          <t>Claims total excluding cancelled policies</t>
        </is>
      </c>
      <c r="C15" s="38" t="inlineStr">
        <is>
          <t>A claims figure excluding every policy with status Cancelled, shown alongside the unadjusted total and the difference, so the adjustment is visible to the reviewer.</t>
        </is>
      </c>
      <c r="D15" s="37" t="inlineStr">
        <is>
          <t>Finance Manager — Technical Accounts</t>
        </is>
      </c>
      <c r="E15" s="31" t="n"/>
    </row>
    <row r="16" ht="39" customHeight="1">
      <c r="A16" s="35" t="n">
        <v>4</v>
      </c>
      <c r="B16" s="36" t="inlineStr">
        <is>
          <t>Modernisation recommendation</t>
        </is>
      </c>
      <c r="C16" s="38" t="inlineStr">
        <is>
          <t>A two-line recommendation naming the one situation in this workbook where SUM(IF()) must be kept, and why SUMIFS cannot replace it there.</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44.xml><?xml version="1.0" encoding="utf-8"?>
<worksheet xmlns="http://schemas.openxmlformats.org/spreadsheetml/2006/main">
  <sheetPr>
    <tabColor rgb="001F3864"/>
    <outlinePr summaryBelow="1" summaryRight="1"/>
    <pageSetUpPr/>
  </sheetPr>
  <dimension ref="A1:K50"/>
  <sheetViews>
    <sheetView showGridLines="0" workbookViewId="0">
      <pane ySplit="5" topLeftCell="A6" activePane="bottomLeft" state="frozen"/>
      <selection pane="bottomLeft" activeCell="A1" sqref="A1"/>
    </sheetView>
  </sheetViews>
  <sheetFormatPr baseColWidth="8" defaultRowHeight="15"/>
  <cols>
    <col width="26" customWidth="1" min="1" max="1"/>
    <col width="20" customWidth="1" min="2" max="2"/>
    <col width="12" customWidth="1" min="3" max="3"/>
    <col width="18" customWidth="1" min="4" max="4"/>
    <col width="16" customWidth="1" min="5" max="5"/>
    <col width="12" customWidth="1" min="6" max="6"/>
    <col width="18" customWidth="1" min="7" max="7"/>
    <col width="20" customWidth="1" min="8" max="8"/>
    <col width="20" customWidth="1" min="9" max="9"/>
    <col width="13" customWidth="1" min="10" max="10"/>
    <col width="14" customWidth="1" min="11" max="11"/>
  </cols>
  <sheetData>
    <row r="1" ht="26" customHeight="1">
      <c r="A1" s="1" t="inlineStr">
        <is>
          <t>Dataset 2.5  —  COUNT and AVERAGE with Array Conditions</t>
        </is>
      </c>
    </row>
    <row r="2" ht="16" customHeight="1">
      <c r="A2" s="2" t="inlineStr">
        <is>
          <t>Session 2: Array Formulas, Advanced Logic &amp; Named Ranges | Part A: Array Formulas (Ctrl+Shift+Enter)   |   Adamjee Assurance Company Limited (Pakistan) — training data, figures in PKR</t>
        </is>
      </c>
    </row>
    <row r="4">
      <c r="A4" s="9" t="inlineStr">
        <is>
          <t>Table A — Underwriting extract 2024</t>
        </is>
      </c>
    </row>
    <row r="5" ht="30" customHeight="1">
      <c r="A5" s="10" t="inlineStr">
        <is>
          <t>Policy No</t>
        </is>
      </c>
      <c r="B5" s="10" t="inlineStr">
        <is>
          <t>Branch</t>
        </is>
      </c>
      <c r="C5" s="10" t="inlineStr">
        <is>
          <t>Region</t>
        </is>
      </c>
      <c r="D5" s="10" t="inlineStr">
        <is>
          <t>Product</t>
        </is>
      </c>
      <c r="E5" s="10" t="inlineStr">
        <is>
          <t>Channel</t>
        </is>
      </c>
      <c r="F5" s="10" t="inlineStr">
        <is>
          <t>Month</t>
        </is>
      </c>
      <c r="G5" s="10" t="inlineStr">
        <is>
          <t>Sum Insured (PKR)</t>
        </is>
      </c>
      <c r="H5" s="10" t="inlineStr">
        <is>
          <t>Gross Premium (PKR)</t>
        </is>
      </c>
      <c r="I5" s="10" t="inlineStr">
        <is>
          <t>Claims Paid (PKR)</t>
        </is>
      </c>
      <c r="J5" s="10" t="inlineStr">
        <is>
          <t>Commission %</t>
        </is>
      </c>
      <c r="K5" s="10" t="inlineStr">
        <is>
          <t>Policy Status</t>
        </is>
      </c>
    </row>
    <row r="6">
      <c r="A6" s="7" t="inlineStr">
        <is>
          <t>ADM-FIR-KHI-2024-1001</t>
        </is>
      </c>
      <c r="B6" s="7" t="inlineStr">
        <is>
          <t>Karachi Main</t>
        </is>
      </c>
      <c r="C6" s="7" t="inlineStr">
        <is>
          <t>South</t>
        </is>
      </c>
      <c r="D6" s="7" t="inlineStr">
        <is>
          <t>Fire &amp; Property</t>
        </is>
      </c>
      <c r="E6" s="7" t="inlineStr">
        <is>
          <t>Direct</t>
        </is>
      </c>
      <c r="F6" s="7" t="inlineStr">
        <is>
          <t>Jan-2024</t>
        </is>
      </c>
      <c r="G6" s="11" t="n">
        <v>4500000</v>
      </c>
      <c r="H6" s="11" t="n">
        <v>96000</v>
      </c>
      <c r="I6" s="11" t="n">
        <v>96262</v>
      </c>
      <c r="J6" s="13" t="n">
        <v>0.15</v>
      </c>
      <c r="K6" s="7" t="inlineStr">
        <is>
          <t>Active</t>
        </is>
      </c>
    </row>
    <row r="7">
      <c r="A7" s="15" t="inlineStr">
        <is>
          <t>ADM-TRV-LHR-2024-1002</t>
        </is>
      </c>
      <c r="B7" s="15" t="inlineStr">
        <is>
          <t>Lahore Gulberg</t>
        </is>
      </c>
      <c r="C7" s="15" t="inlineStr">
        <is>
          <t>Central</t>
        </is>
      </c>
      <c r="D7" s="15" t="inlineStr">
        <is>
          <t>Travel</t>
        </is>
      </c>
      <c r="E7" s="15" t="inlineStr">
        <is>
          <t>Agency</t>
        </is>
      </c>
      <c r="F7" s="15" t="inlineStr">
        <is>
          <t>Feb-2024</t>
        </is>
      </c>
      <c r="G7" s="14" t="n">
        <v>12000000</v>
      </c>
      <c r="H7" s="14" t="n">
        <v>201000</v>
      </c>
      <c r="I7" s="14" t="n">
        <v>111595</v>
      </c>
      <c r="J7" s="17" t="n">
        <v>0.175</v>
      </c>
      <c r="K7" s="15" t="inlineStr">
        <is>
          <t>Active</t>
        </is>
      </c>
    </row>
    <row r="8">
      <c r="A8" s="7" t="inlineStr">
        <is>
          <t>ADM-MTR-ISB-2024-1003</t>
        </is>
      </c>
      <c r="B8" s="7" t="inlineStr">
        <is>
          <t>Islamabad Blue Area</t>
        </is>
      </c>
      <c r="C8" s="7" t="inlineStr">
        <is>
          <t>North</t>
        </is>
      </c>
      <c r="D8" s="7" t="inlineStr">
        <is>
          <t>Motor</t>
        </is>
      </c>
      <c r="E8" s="7" t="inlineStr">
        <is>
          <t>Bancassurance</t>
        </is>
      </c>
      <c r="F8" s="7" t="inlineStr">
        <is>
          <t>Mar-2024</t>
        </is>
      </c>
      <c r="G8" s="11" t="n">
        <v>65000000</v>
      </c>
      <c r="H8" s="11" t="n">
        <v>1397000</v>
      </c>
      <c r="I8" s="11" t="n">
        <v>1436098</v>
      </c>
      <c r="J8" s="13" t="n">
        <v>0.125</v>
      </c>
      <c r="K8" s="7" t="inlineStr">
        <is>
          <t>Active</t>
        </is>
      </c>
    </row>
    <row r="9">
      <c r="A9" s="15" t="inlineStr">
        <is>
          <t>ADM-HLT-FSD-2024-1004</t>
        </is>
      </c>
      <c r="B9" s="15" t="inlineStr">
        <is>
          <t>Faisalabad</t>
        </is>
      </c>
      <c r="C9" s="15" t="inlineStr">
        <is>
          <t>Central</t>
        </is>
      </c>
      <c r="D9" s="15" t="inlineStr">
        <is>
          <t>Health</t>
        </is>
      </c>
      <c r="E9" s="15" t="inlineStr">
        <is>
          <t>Corporate</t>
        </is>
      </c>
      <c r="F9" s="15" t="inlineStr">
        <is>
          <t>Apr-2024</t>
        </is>
      </c>
      <c r="G9" s="14" t="n">
        <v>18500000</v>
      </c>
      <c r="H9" s="14" t="n">
        <v>305000</v>
      </c>
      <c r="I9" s="14" t="n">
        <v>185930</v>
      </c>
      <c r="J9" s="17" t="n">
        <v>0.125</v>
      </c>
      <c r="K9" s="15" t="inlineStr">
        <is>
          <t>Cancelled</t>
        </is>
      </c>
    </row>
    <row r="10">
      <c r="A10" s="7" t="inlineStr">
        <is>
          <t>ADM-MSC-MUL-2024-1005</t>
        </is>
      </c>
      <c r="B10" s="7" t="inlineStr">
        <is>
          <t>Multan</t>
        </is>
      </c>
      <c r="C10" s="7" t="inlineStr">
        <is>
          <t>Central</t>
        </is>
      </c>
      <c r="D10" s="7" t="inlineStr">
        <is>
          <t>Miscellaneous</t>
        </is>
      </c>
      <c r="E10" s="7" t="inlineStr">
        <is>
          <t>Direct</t>
        </is>
      </c>
      <c r="F10" s="7" t="inlineStr">
        <is>
          <t>May-2024</t>
        </is>
      </c>
      <c r="G10" s="11" t="n">
        <v>4500000</v>
      </c>
      <c r="H10" s="11" t="n">
        <v>75000</v>
      </c>
      <c r="I10" s="11" t="n">
        <v>44061</v>
      </c>
      <c r="J10" s="13" t="n">
        <v>0.175</v>
      </c>
      <c r="K10" s="7" t="inlineStr">
        <is>
          <t>Active</t>
        </is>
      </c>
    </row>
    <row r="11">
      <c r="A11" s="15" t="inlineStr">
        <is>
          <t>ADM-MAR-PEW-2024-1006</t>
        </is>
      </c>
      <c r="B11" s="15" t="inlineStr">
        <is>
          <t>Peshawar</t>
        </is>
      </c>
      <c r="C11" s="15" t="inlineStr">
        <is>
          <t>North</t>
        </is>
      </c>
      <c r="D11" s="15" t="inlineStr">
        <is>
          <t>Marine Cargo</t>
        </is>
      </c>
      <c r="E11" s="15" t="inlineStr">
        <is>
          <t>Agency</t>
        </is>
      </c>
      <c r="F11" s="15" t="inlineStr">
        <is>
          <t>Jun-2024</t>
        </is>
      </c>
      <c r="G11" s="14" t="n">
        <v>25000000</v>
      </c>
      <c r="H11" s="14" t="n">
        <v>380000</v>
      </c>
      <c r="I11" s="14" t="n">
        <v>91249</v>
      </c>
      <c r="J11" s="17" t="n">
        <v>0.125</v>
      </c>
      <c r="K11" s="15" t="inlineStr">
        <is>
          <t>Active</t>
        </is>
      </c>
    </row>
    <row r="12">
      <c r="A12" s="7" t="inlineStr">
        <is>
          <t>ADM-ENG-QTA-2024-1007</t>
        </is>
      </c>
      <c r="B12" s="7" t="inlineStr">
        <is>
          <t>Quetta</t>
        </is>
      </c>
      <c r="C12" s="7" t="inlineStr">
        <is>
          <t>South</t>
        </is>
      </c>
      <c r="D12" s="7" t="inlineStr">
        <is>
          <t>Engineering</t>
        </is>
      </c>
      <c r="E12" s="7" t="inlineStr">
        <is>
          <t>Bancassurance</t>
        </is>
      </c>
      <c r="F12" s="7" t="inlineStr">
        <is>
          <t>Jul-2024</t>
        </is>
      </c>
      <c r="G12" s="11" t="n">
        <v>18500000</v>
      </c>
      <c r="H12" s="11" t="n">
        <v>227000</v>
      </c>
      <c r="I12" s="11" t="n">
        <v>78775</v>
      </c>
      <c r="J12" s="13" t="n">
        <v>0.125</v>
      </c>
      <c r="K12" s="7" t="inlineStr">
        <is>
          <t>Active</t>
        </is>
      </c>
    </row>
    <row r="13">
      <c r="A13" s="15" t="inlineStr">
        <is>
          <t>ADM-FIR-HYD-2024-1008</t>
        </is>
      </c>
      <c r="B13" s="15" t="inlineStr">
        <is>
          <t>Hyderabad</t>
        </is>
      </c>
      <c r="C13" s="15" t="inlineStr">
        <is>
          <t>South</t>
        </is>
      </c>
      <c r="D13" s="15" t="inlineStr">
        <is>
          <t>Fire &amp; Property</t>
        </is>
      </c>
      <c r="E13" s="15" t="inlineStr">
        <is>
          <t>Corporate</t>
        </is>
      </c>
      <c r="F13" s="15" t="inlineStr">
        <is>
          <t>Aug-2024</t>
        </is>
      </c>
      <c r="G13" s="14" t="n">
        <v>25000000</v>
      </c>
      <c r="H13" s="14" t="n">
        <v>290000</v>
      </c>
      <c r="I13" s="14" t="n">
        <v>249183</v>
      </c>
      <c r="J13" s="17" t="n">
        <v>0.125</v>
      </c>
      <c r="K13" s="15" t="inlineStr">
        <is>
          <t>Renewed</t>
        </is>
      </c>
    </row>
    <row r="14">
      <c r="A14" s="7" t="inlineStr">
        <is>
          <t>ADM-TRV-SKT-2024-1009</t>
        </is>
      </c>
      <c r="B14" s="7" t="inlineStr">
        <is>
          <t>Sialkot</t>
        </is>
      </c>
      <c r="C14" s="7" t="inlineStr">
        <is>
          <t>Central</t>
        </is>
      </c>
      <c r="D14" s="7" t="inlineStr">
        <is>
          <t>Travel</t>
        </is>
      </c>
      <c r="E14" s="7" t="inlineStr">
        <is>
          <t>Direct</t>
        </is>
      </c>
      <c r="F14" s="7" t="inlineStr">
        <is>
          <t>Sep-2024</t>
        </is>
      </c>
      <c r="G14" s="11" t="n">
        <v>7500000</v>
      </c>
      <c r="H14" s="11" t="n">
        <v>37000</v>
      </c>
      <c r="I14" s="11" t="n">
        <v>48145</v>
      </c>
      <c r="J14" s="13" t="n">
        <v>0.125</v>
      </c>
      <c r="K14" s="7" t="inlineStr">
        <is>
          <t>Active</t>
        </is>
      </c>
    </row>
    <row r="15">
      <c r="A15" s="15" t="inlineStr">
        <is>
          <t>ADM-MTR-RWP-2024-1010</t>
        </is>
      </c>
      <c r="B15" s="15" t="inlineStr">
        <is>
          <t>Rawalpindi</t>
        </is>
      </c>
      <c r="C15" s="15" t="inlineStr">
        <is>
          <t>North</t>
        </is>
      </c>
      <c r="D15" s="15" t="inlineStr">
        <is>
          <t>Motor</t>
        </is>
      </c>
      <c r="E15" s="15" t="inlineStr">
        <is>
          <t>Agency</t>
        </is>
      </c>
      <c r="F15" s="15" t="inlineStr">
        <is>
          <t>Oct-2024</t>
        </is>
      </c>
      <c r="G15" s="14" t="n">
        <v>65000000</v>
      </c>
      <c r="H15" s="14" t="n">
        <v>760000</v>
      </c>
      <c r="I15" s="14" t="n">
        <v>162016</v>
      </c>
      <c r="J15" s="17" t="n">
        <v>0.2</v>
      </c>
      <c r="K15" s="15" t="inlineStr">
        <is>
          <t>Cancelled</t>
        </is>
      </c>
    </row>
    <row r="16">
      <c r="A16" s="7" t="inlineStr">
        <is>
          <t>ADM-HLT-KHI-2024-1011</t>
        </is>
      </c>
      <c r="B16" s="7" t="inlineStr">
        <is>
          <t>Karachi Main</t>
        </is>
      </c>
      <c r="C16" s="7" t="inlineStr">
        <is>
          <t>South</t>
        </is>
      </c>
      <c r="D16" s="7" t="inlineStr">
        <is>
          <t>Health</t>
        </is>
      </c>
      <c r="E16" s="7" t="inlineStr">
        <is>
          <t>Bancassurance</t>
        </is>
      </c>
      <c r="F16" s="7" t="inlineStr">
        <is>
          <t>Nov-2024</t>
        </is>
      </c>
      <c r="G16" s="11" t="n">
        <v>90000000</v>
      </c>
      <c r="H16" s="11" t="n">
        <v>603000</v>
      </c>
      <c r="I16" s="11" t="n">
        <v>595704</v>
      </c>
      <c r="J16" s="13" t="n">
        <v>0.2</v>
      </c>
      <c r="K16" s="7" t="inlineStr">
        <is>
          <t>Active</t>
        </is>
      </c>
    </row>
    <row r="17">
      <c r="A17" s="15" t="inlineStr">
        <is>
          <t>ADM-MSC-LHR-2024-1012</t>
        </is>
      </c>
      <c r="B17" s="15" t="inlineStr">
        <is>
          <t>Lahore Gulberg</t>
        </is>
      </c>
      <c r="C17" s="15" t="inlineStr">
        <is>
          <t>Central</t>
        </is>
      </c>
      <c r="D17" s="15" t="inlineStr">
        <is>
          <t>Miscellaneous</t>
        </is>
      </c>
      <c r="E17" s="15" t="inlineStr">
        <is>
          <t>Corporate</t>
        </is>
      </c>
      <c r="F17" s="15" t="inlineStr">
        <is>
          <t>Dec-2024</t>
        </is>
      </c>
      <c r="G17" s="14" t="n">
        <v>40000000</v>
      </c>
      <c r="H17" s="14" t="n">
        <v>512000</v>
      </c>
      <c r="I17" s="14" t="n">
        <v>394713</v>
      </c>
      <c r="J17" s="17" t="n">
        <v>0.125</v>
      </c>
      <c r="K17" s="15" t="inlineStr">
        <is>
          <t>Active</t>
        </is>
      </c>
    </row>
    <row r="18">
      <c r="A18" s="7" t="inlineStr">
        <is>
          <t>ADM-MAR-ISB-2024-1013</t>
        </is>
      </c>
      <c r="B18" s="7" t="inlineStr">
        <is>
          <t>Islamabad Blue Area</t>
        </is>
      </c>
      <c r="C18" s="7" t="inlineStr">
        <is>
          <t>North</t>
        </is>
      </c>
      <c r="D18" s="7" t="inlineStr">
        <is>
          <t>Marine Cargo</t>
        </is>
      </c>
      <c r="E18" s="7" t="inlineStr">
        <is>
          <t>Direct</t>
        </is>
      </c>
      <c r="F18" s="7" t="inlineStr">
        <is>
          <t>Jan-2024</t>
        </is>
      </c>
      <c r="G18" s="11" t="n">
        <v>90000000</v>
      </c>
      <c r="H18" s="11" t="n">
        <v>2169000</v>
      </c>
      <c r="I18" s="11" t="n">
        <v>2687419</v>
      </c>
      <c r="J18" s="13" t="n">
        <v>0.125</v>
      </c>
      <c r="K18" s="7" t="inlineStr">
        <is>
          <t>Active</t>
        </is>
      </c>
    </row>
    <row r="19">
      <c r="A19" s="15" t="inlineStr">
        <is>
          <t>ADM-ENG-FSD-2024-1014</t>
        </is>
      </c>
      <c r="B19" s="15" t="inlineStr">
        <is>
          <t>Faisalabad</t>
        </is>
      </c>
      <c r="C19" s="15" t="inlineStr">
        <is>
          <t>Central</t>
        </is>
      </c>
      <c r="D19" s="15" t="inlineStr">
        <is>
          <t>Engineering</t>
        </is>
      </c>
      <c r="E19" s="15" t="inlineStr">
        <is>
          <t>Agency</t>
        </is>
      </c>
      <c r="F19" s="15" t="inlineStr">
        <is>
          <t>Feb-2024</t>
        </is>
      </c>
      <c r="G19" s="14" t="n">
        <v>90000000</v>
      </c>
      <c r="H19" s="14" t="n">
        <v>1089000</v>
      </c>
      <c r="I19" s="14" t="n">
        <v>1020517</v>
      </c>
      <c r="J19" s="17" t="n">
        <v>0.175</v>
      </c>
      <c r="K19" s="15" t="inlineStr">
        <is>
          <t>Active</t>
        </is>
      </c>
    </row>
    <row r="20">
      <c r="A20" s="7" t="inlineStr">
        <is>
          <t>ADM-FIR-MUL-2024-1015</t>
        </is>
      </c>
      <c r="B20" s="7" t="inlineStr">
        <is>
          <t>Multan</t>
        </is>
      </c>
      <c r="C20" s="7" t="inlineStr">
        <is>
          <t>Central</t>
        </is>
      </c>
      <c r="D20" s="7" t="inlineStr">
        <is>
          <t>Fire &amp; Property</t>
        </is>
      </c>
      <c r="E20" s="7" t="inlineStr">
        <is>
          <t>Bancassurance</t>
        </is>
      </c>
      <c r="F20" s="7" t="inlineStr">
        <is>
          <t>Mar-2024</t>
        </is>
      </c>
      <c r="G20" s="11" t="n">
        <v>18500000</v>
      </c>
      <c r="H20" s="11" t="n">
        <v>484000</v>
      </c>
      <c r="I20" s="11" t="n">
        <v>575693</v>
      </c>
      <c r="J20" s="13" t="n">
        <v>0.2</v>
      </c>
      <c r="K20" s="7" t="inlineStr">
        <is>
          <t>Cancelled</t>
        </is>
      </c>
    </row>
    <row r="21">
      <c r="A21" s="15" t="inlineStr">
        <is>
          <t>ADM-TRV-PEW-2024-1016</t>
        </is>
      </c>
      <c r="B21" s="15" t="inlineStr">
        <is>
          <t>Peshawar</t>
        </is>
      </c>
      <c r="C21" s="15" t="inlineStr">
        <is>
          <t>North</t>
        </is>
      </c>
      <c r="D21" s="15" t="inlineStr">
        <is>
          <t>Travel</t>
        </is>
      </c>
      <c r="E21" s="15" t="inlineStr">
        <is>
          <t>Corporate</t>
        </is>
      </c>
      <c r="F21" s="15" t="inlineStr">
        <is>
          <t>Apr-2024</t>
        </is>
      </c>
      <c r="G21" s="14" t="n">
        <v>2800000</v>
      </c>
      <c r="H21" s="14" t="n">
        <v>74000</v>
      </c>
      <c r="I21" s="14" t="n">
        <v>114737</v>
      </c>
      <c r="J21" s="17" t="n">
        <v>0.125</v>
      </c>
      <c r="K21" s="15" t="inlineStr">
        <is>
          <t>Active</t>
        </is>
      </c>
    </row>
    <row r="22">
      <c r="A22" s="7" t="inlineStr">
        <is>
          <t>ADM-MTR-QTA-2024-1017</t>
        </is>
      </c>
      <c r="B22" s="7" t="inlineStr">
        <is>
          <t>Quetta</t>
        </is>
      </c>
      <c r="C22" s="7" t="inlineStr">
        <is>
          <t>South</t>
        </is>
      </c>
      <c r="D22" s="7" t="inlineStr">
        <is>
          <t>Motor</t>
        </is>
      </c>
      <c r="E22" s="7" t="inlineStr">
        <is>
          <t>Direct</t>
        </is>
      </c>
      <c r="F22" s="7" t="inlineStr">
        <is>
          <t>May-2024</t>
        </is>
      </c>
      <c r="G22" s="11" t="n">
        <v>40000000</v>
      </c>
      <c r="H22" s="11" t="n">
        <v>835000</v>
      </c>
      <c r="I22" s="11" t="n">
        <v>672109</v>
      </c>
      <c r="J22" s="13" t="n">
        <v>0.15</v>
      </c>
      <c r="K22" s="7" t="inlineStr">
        <is>
          <t>Active</t>
        </is>
      </c>
    </row>
    <row r="23">
      <c r="A23" s="15" t="inlineStr">
        <is>
          <t>ADM-HLT-HYD-2024-1018</t>
        </is>
      </c>
      <c r="B23" s="15" t="inlineStr">
        <is>
          <t>Hyderabad</t>
        </is>
      </c>
      <c r="C23" s="15" t="inlineStr">
        <is>
          <t>South</t>
        </is>
      </c>
      <c r="D23" s="15" t="inlineStr">
        <is>
          <t>Health</t>
        </is>
      </c>
      <c r="E23" s="15" t="inlineStr">
        <is>
          <t>Agency</t>
        </is>
      </c>
      <c r="F23" s="15" t="inlineStr">
        <is>
          <t>Jun-2024</t>
        </is>
      </c>
      <c r="G23" s="14" t="n">
        <v>7500000</v>
      </c>
      <c r="H23" s="14" t="n">
        <v>174000</v>
      </c>
      <c r="I23" s="14" t="n">
        <v>259300</v>
      </c>
      <c r="J23" s="17" t="n">
        <v>0.125</v>
      </c>
      <c r="K23" s="15" t="inlineStr">
        <is>
          <t>Cancelled</t>
        </is>
      </c>
    </row>
    <row r="24">
      <c r="A24" s="7" t="inlineStr">
        <is>
          <t>ADM-MSC-SKT-2024-1019</t>
        </is>
      </c>
      <c r="B24" s="7" t="inlineStr">
        <is>
          <t>Sialkot</t>
        </is>
      </c>
      <c r="C24" s="7" t="inlineStr">
        <is>
          <t>Central</t>
        </is>
      </c>
      <c r="D24" s="7" t="inlineStr">
        <is>
          <t>Miscellaneous</t>
        </is>
      </c>
      <c r="E24" s="7" t="inlineStr">
        <is>
          <t>Bancassurance</t>
        </is>
      </c>
      <c r="F24" s="7" t="inlineStr">
        <is>
          <t>Jul-2024</t>
        </is>
      </c>
      <c r="G24" s="11" t="n">
        <v>90000000</v>
      </c>
      <c r="H24" s="11" t="n">
        <v>927000</v>
      </c>
      <c r="I24" s="11" t="n">
        <v>505938</v>
      </c>
      <c r="J24" s="13" t="n">
        <v>0.2</v>
      </c>
      <c r="K24" s="7" t="inlineStr">
        <is>
          <t>Renewed</t>
        </is>
      </c>
    </row>
    <row r="25">
      <c r="A25" s="15" t="inlineStr">
        <is>
          <t>ADM-MAR-RWP-2024-1020</t>
        </is>
      </c>
      <c r="B25" s="15" t="inlineStr">
        <is>
          <t>Rawalpindi</t>
        </is>
      </c>
      <c r="C25" s="15" t="inlineStr">
        <is>
          <t>North</t>
        </is>
      </c>
      <c r="D25" s="15" t="inlineStr">
        <is>
          <t>Marine Cargo</t>
        </is>
      </c>
      <c r="E25" s="15" t="inlineStr">
        <is>
          <t>Corporate</t>
        </is>
      </c>
      <c r="F25" s="15" t="inlineStr">
        <is>
          <t>Aug-2024</t>
        </is>
      </c>
      <c r="G25" s="14" t="n">
        <v>7500000</v>
      </c>
      <c r="H25" s="14" t="n">
        <v>181000</v>
      </c>
      <c r="I25" s="14" t="n">
        <v>181691</v>
      </c>
      <c r="J25" s="17" t="n">
        <v>0.15</v>
      </c>
      <c r="K25" s="15" t="inlineStr">
        <is>
          <t>Active</t>
        </is>
      </c>
    </row>
    <row r="26">
      <c r="A26" s="7" t="inlineStr">
        <is>
          <t>ADM-ENG-KHI-2024-1021</t>
        </is>
      </c>
      <c r="B26" s="7" t="inlineStr">
        <is>
          <t>Karachi Main</t>
        </is>
      </c>
      <c r="C26" s="7" t="inlineStr">
        <is>
          <t>South</t>
        </is>
      </c>
      <c r="D26" s="7" t="inlineStr">
        <is>
          <t>Engineering</t>
        </is>
      </c>
      <c r="E26" s="7" t="inlineStr">
        <is>
          <t>Direct</t>
        </is>
      </c>
      <c r="F26" s="7" t="inlineStr">
        <is>
          <t>Sep-2024</t>
        </is>
      </c>
      <c r="G26" s="11" t="n">
        <v>4500000</v>
      </c>
      <c r="H26" s="11" t="n">
        <v>78000</v>
      </c>
      <c r="I26" s="11" t="n">
        <v>32635</v>
      </c>
      <c r="J26" s="13" t="n">
        <v>0.15</v>
      </c>
      <c r="K26" s="7" t="inlineStr">
        <is>
          <t>Lapsed</t>
        </is>
      </c>
    </row>
    <row r="27">
      <c r="A27" s="15" t="inlineStr">
        <is>
          <t>ADM-FIR-LHR-2024-1022</t>
        </is>
      </c>
      <c r="B27" s="15" t="inlineStr">
        <is>
          <t>Lahore Gulberg</t>
        </is>
      </c>
      <c r="C27" s="15" t="inlineStr">
        <is>
          <t>Central</t>
        </is>
      </c>
      <c r="D27" s="15" t="inlineStr">
        <is>
          <t>Fire &amp; Property</t>
        </is>
      </c>
      <c r="E27" s="15" t="inlineStr">
        <is>
          <t>Agency</t>
        </is>
      </c>
      <c r="F27" s="15" t="inlineStr">
        <is>
          <t>Oct-2024</t>
        </is>
      </c>
      <c r="G27" s="14" t="n">
        <v>40000000</v>
      </c>
      <c r="H27" s="14" t="n">
        <v>368000</v>
      </c>
      <c r="I27" s="14" t="n">
        <v>117086</v>
      </c>
      <c r="J27" s="17" t="n">
        <v>0.125</v>
      </c>
      <c r="K27" s="15" t="inlineStr">
        <is>
          <t>Renewed</t>
        </is>
      </c>
    </row>
    <row r="28">
      <c r="A28" s="7" t="inlineStr">
        <is>
          <t>ADM-TRV-ISB-2024-1023</t>
        </is>
      </c>
      <c r="B28" s="7" t="inlineStr">
        <is>
          <t>Islamabad Blue Area</t>
        </is>
      </c>
      <c r="C28" s="7" t="inlineStr">
        <is>
          <t>North</t>
        </is>
      </c>
      <c r="D28" s="7" t="inlineStr">
        <is>
          <t>Travel</t>
        </is>
      </c>
      <c r="E28" s="7" t="inlineStr">
        <is>
          <t>Bancassurance</t>
        </is>
      </c>
      <c r="F28" s="7" t="inlineStr">
        <is>
          <t>Nov-2024</t>
        </is>
      </c>
      <c r="G28" s="11" t="n">
        <v>65000000</v>
      </c>
      <c r="H28" s="11" t="n">
        <v>1586000</v>
      </c>
      <c r="I28" s="11" t="n">
        <v>625762</v>
      </c>
      <c r="J28" s="13" t="n">
        <v>0.15</v>
      </c>
      <c r="K28" s="7" t="inlineStr">
        <is>
          <t>Active</t>
        </is>
      </c>
    </row>
    <row r="29">
      <c r="A29" s="15" t="inlineStr">
        <is>
          <t>ADM-MTR-FSD-2024-1024</t>
        </is>
      </c>
      <c r="B29" s="15" t="inlineStr">
        <is>
          <t>Faisalabad</t>
        </is>
      </c>
      <c r="C29" s="15" t="inlineStr">
        <is>
          <t>Central</t>
        </is>
      </c>
      <c r="D29" s="15" t="inlineStr">
        <is>
          <t>Motor</t>
        </is>
      </c>
      <c r="E29" s="15" t="inlineStr">
        <is>
          <t>Corporate</t>
        </is>
      </c>
      <c r="F29" s="15" t="inlineStr">
        <is>
          <t>Dec-2024</t>
        </is>
      </c>
      <c r="G29" s="14" t="n">
        <v>90000000</v>
      </c>
      <c r="H29" s="14" t="n">
        <v>2304000</v>
      </c>
      <c r="I29" s="14" t="n">
        <v>2938527</v>
      </c>
      <c r="J29" s="17" t="n">
        <v>0.2</v>
      </c>
      <c r="K29" s="15" t="inlineStr">
        <is>
          <t>Renewed</t>
        </is>
      </c>
    </row>
    <row r="30">
      <c r="A30" s="7" t="inlineStr">
        <is>
          <t>ADM-HLT-MUL-2024-1025</t>
        </is>
      </c>
      <c r="B30" s="7" t="inlineStr">
        <is>
          <t>Multan</t>
        </is>
      </c>
      <c r="C30" s="7" t="inlineStr">
        <is>
          <t>Central</t>
        </is>
      </c>
      <c r="D30" s="7" t="inlineStr">
        <is>
          <t>Health</t>
        </is>
      </c>
      <c r="E30" s="7" t="inlineStr">
        <is>
          <t>Direct</t>
        </is>
      </c>
      <c r="F30" s="7" t="inlineStr">
        <is>
          <t>Jan-2024</t>
        </is>
      </c>
      <c r="G30" s="11" t="n">
        <v>2800000</v>
      </c>
      <c r="H30" s="11" t="n">
        <v>19000</v>
      </c>
      <c r="I30" s="11" t="n">
        <v>28171</v>
      </c>
      <c r="J30" s="13" t="n">
        <v>0.1</v>
      </c>
      <c r="K30" s="7" t="inlineStr">
        <is>
          <t>Lapsed</t>
        </is>
      </c>
    </row>
    <row r="31">
      <c r="A31" s="15" t="inlineStr">
        <is>
          <t>ADM-MSC-PEW-2024-1026</t>
        </is>
      </c>
      <c r="B31" s="15" t="inlineStr">
        <is>
          <t>Peshawar</t>
        </is>
      </c>
      <c r="C31" s="15" t="inlineStr">
        <is>
          <t>North</t>
        </is>
      </c>
      <c r="D31" s="15" t="inlineStr">
        <is>
          <t>Miscellaneous</t>
        </is>
      </c>
      <c r="E31" s="15" t="inlineStr">
        <is>
          <t>Agency</t>
        </is>
      </c>
      <c r="F31" s="15" t="inlineStr">
        <is>
          <t>Feb-2024</t>
        </is>
      </c>
      <c r="G31" s="14" t="n">
        <v>7500000</v>
      </c>
      <c r="H31" s="14" t="n">
        <v>193000</v>
      </c>
      <c r="I31" s="14" t="n">
        <v>17765</v>
      </c>
      <c r="J31" s="17" t="n">
        <v>0.2</v>
      </c>
      <c r="K31" s="15" t="inlineStr">
        <is>
          <t>Active</t>
        </is>
      </c>
    </row>
    <row r="32">
      <c r="A32" s="7" t="inlineStr">
        <is>
          <t>ADM-MAR-QTA-2024-1027</t>
        </is>
      </c>
      <c r="B32" s="7" t="inlineStr">
        <is>
          <t>Quetta</t>
        </is>
      </c>
      <c r="C32" s="7" t="inlineStr">
        <is>
          <t>South</t>
        </is>
      </c>
      <c r="D32" s="7" t="inlineStr">
        <is>
          <t>Marine Cargo</t>
        </is>
      </c>
      <c r="E32" s="7" t="inlineStr">
        <is>
          <t>Bancassurance</t>
        </is>
      </c>
      <c r="F32" s="7" t="inlineStr">
        <is>
          <t>Mar-2024</t>
        </is>
      </c>
      <c r="G32" s="11" t="n">
        <v>4500000</v>
      </c>
      <c r="H32" s="11" t="n">
        <v>43000</v>
      </c>
      <c r="I32" s="11" t="n">
        <v>32814</v>
      </c>
      <c r="J32" s="13" t="n">
        <v>0.2</v>
      </c>
      <c r="K32" s="7" t="inlineStr">
        <is>
          <t>Cancelled</t>
        </is>
      </c>
    </row>
    <row r="33">
      <c r="A33" s="15" t="inlineStr">
        <is>
          <t>ADM-ENG-HYD-2024-1028</t>
        </is>
      </c>
      <c r="B33" s="15" t="inlineStr">
        <is>
          <t>Hyderabad</t>
        </is>
      </c>
      <c r="C33" s="15" t="inlineStr">
        <is>
          <t>South</t>
        </is>
      </c>
      <c r="D33" s="15" t="inlineStr">
        <is>
          <t>Engineering</t>
        </is>
      </c>
      <c r="E33" s="15" t="inlineStr">
        <is>
          <t>Corporate</t>
        </is>
      </c>
      <c r="F33" s="15" t="inlineStr">
        <is>
          <t>Apr-2024</t>
        </is>
      </c>
      <c r="G33" s="14" t="n">
        <v>4500000</v>
      </c>
      <c r="H33" s="14" t="n">
        <v>27000</v>
      </c>
      <c r="I33" s="14" t="n">
        <v>22858</v>
      </c>
      <c r="J33" s="17" t="n">
        <v>0.2</v>
      </c>
      <c r="K33" s="15" t="inlineStr">
        <is>
          <t>Active</t>
        </is>
      </c>
    </row>
    <row r="34">
      <c r="A34" s="7" t="inlineStr">
        <is>
          <t>ADM-FIR-SKT-2024-1029</t>
        </is>
      </c>
      <c r="B34" s="7" t="inlineStr">
        <is>
          <t>Sialkot</t>
        </is>
      </c>
      <c r="C34" s="7" t="inlineStr">
        <is>
          <t>Central</t>
        </is>
      </c>
      <c r="D34" s="7" t="inlineStr">
        <is>
          <t>Fire &amp; Property</t>
        </is>
      </c>
      <c r="E34" s="7" t="inlineStr">
        <is>
          <t>Direct</t>
        </is>
      </c>
      <c r="F34" s="7" t="inlineStr">
        <is>
          <t>May-2024</t>
        </is>
      </c>
      <c r="G34" s="11" t="n">
        <v>65000000</v>
      </c>
      <c r="H34" s="11" t="n">
        <v>1527000</v>
      </c>
      <c r="I34" s="11" t="n">
        <v>181283</v>
      </c>
      <c r="J34" s="13" t="n">
        <v>0.2</v>
      </c>
      <c r="K34" s="7" t="inlineStr">
        <is>
          <t>Cancelled</t>
        </is>
      </c>
    </row>
    <row r="35">
      <c r="A35" s="15" t="inlineStr">
        <is>
          <t>ADM-TRV-RWP-2024-1030</t>
        </is>
      </c>
      <c r="B35" s="15" t="inlineStr">
        <is>
          <t>Rawalpindi</t>
        </is>
      </c>
      <c r="C35" s="15" t="inlineStr">
        <is>
          <t>North</t>
        </is>
      </c>
      <c r="D35" s="15" t="inlineStr">
        <is>
          <t>Travel</t>
        </is>
      </c>
      <c r="E35" s="15" t="inlineStr">
        <is>
          <t>Agency</t>
        </is>
      </c>
      <c r="F35" s="15" t="inlineStr">
        <is>
          <t>Jun-2024</t>
        </is>
      </c>
      <c r="G35" s="14" t="n">
        <v>90000000</v>
      </c>
      <c r="H35" s="14" t="n">
        <v>594000</v>
      </c>
      <c r="I35" s="14" t="n">
        <v>713976</v>
      </c>
      <c r="J35" s="17" t="n">
        <v>0.125</v>
      </c>
      <c r="K35" s="15" t="inlineStr">
        <is>
          <t>Lapsed</t>
        </is>
      </c>
    </row>
    <row r="36">
      <c r="A36" s="7" t="inlineStr">
        <is>
          <t>ADM-MTR-KHI-2024-1031</t>
        </is>
      </c>
      <c r="B36" s="7" t="inlineStr">
        <is>
          <t>Karachi Main</t>
        </is>
      </c>
      <c r="C36" s="7" t="inlineStr">
        <is>
          <t>South</t>
        </is>
      </c>
      <c r="D36" s="7" t="inlineStr">
        <is>
          <t>Motor</t>
        </is>
      </c>
      <c r="E36" s="7" t="inlineStr">
        <is>
          <t>Bancassurance</t>
        </is>
      </c>
      <c r="F36" s="7" t="inlineStr">
        <is>
          <t>Jul-2024</t>
        </is>
      </c>
      <c r="G36" s="11" t="n">
        <v>1500000</v>
      </c>
      <c r="H36" s="11" t="n">
        <v>10000</v>
      </c>
      <c r="I36" s="11" t="n">
        <v>3023</v>
      </c>
      <c r="J36" s="13" t="n">
        <v>0.1</v>
      </c>
      <c r="K36" s="7" t="inlineStr">
        <is>
          <t>Active</t>
        </is>
      </c>
    </row>
    <row r="37">
      <c r="A37" s="15" t="inlineStr">
        <is>
          <t>ADM-HLT-LHR-2024-1032</t>
        </is>
      </c>
      <c r="B37" s="15" t="inlineStr">
        <is>
          <t>Lahore Gulberg</t>
        </is>
      </c>
      <c r="C37" s="15" t="inlineStr">
        <is>
          <t>Central</t>
        </is>
      </c>
      <c r="D37" s="15" t="inlineStr">
        <is>
          <t>Health</t>
        </is>
      </c>
      <c r="E37" s="15" t="inlineStr">
        <is>
          <t>Corporate</t>
        </is>
      </c>
      <c r="F37" s="15" t="inlineStr">
        <is>
          <t>Aug-2024</t>
        </is>
      </c>
      <c r="G37" s="14" t="n">
        <v>2800000</v>
      </c>
      <c r="H37" s="14" t="n">
        <v>53000</v>
      </c>
      <c r="I37" s="14" t="n">
        <v>77663</v>
      </c>
      <c r="J37" s="17" t="n">
        <v>0.2</v>
      </c>
      <c r="K37" s="15" t="inlineStr">
        <is>
          <t>Cancelled</t>
        </is>
      </c>
    </row>
    <row r="38">
      <c r="A38" s="7" t="inlineStr">
        <is>
          <t>ADM-MSC-ISB-2024-1033</t>
        </is>
      </c>
      <c r="B38" s="7" t="inlineStr">
        <is>
          <t>Islamabad Blue Area</t>
        </is>
      </c>
      <c r="C38" s="7" t="inlineStr">
        <is>
          <t>North</t>
        </is>
      </c>
      <c r="D38" s="7" t="inlineStr">
        <is>
          <t>Miscellaneous</t>
        </is>
      </c>
      <c r="E38" s="7" t="inlineStr">
        <is>
          <t>Direct</t>
        </is>
      </c>
      <c r="F38" s="7" t="inlineStr">
        <is>
          <t>Sep-2024</t>
        </is>
      </c>
      <c r="G38" s="11" t="n">
        <v>7500000</v>
      </c>
      <c r="H38" s="11" t="n">
        <v>134000</v>
      </c>
      <c r="I38" s="11" t="n">
        <v>126532</v>
      </c>
      <c r="J38" s="13" t="n">
        <v>0.125</v>
      </c>
      <c r="K38" s="7" t="inlineStr">
        <is>
          <t>Renewed</t>
        </is>
      </c>
    </row>
    <row r="39">
      <c r="A39" s="15" t="inlineStr">
        <is>
          <t>ADM-MAR-FSD-2024-1034</t>
        </is>
      </c>
      <c r="B39" s="15" t="inlineStr">
        <is>
          <t>Faisalabad</t>
        </is>
      </c>
      <c r="C39" s="15" t="inlineStr">
        <is>
          <t>Central</t>
        </is>
      </c>
      <c r="D39" s="15" t="inlineStr">
        <is>
          <t>Marine Cargo</t>
        </is>
      </c>
      <c r="E39" s="15" t="inlineStr">
        <is>
          <t>Agency</t>
        </is>
      </c>
      <c r="F39" s="15" t="inlineStr">
        <is>
          <t>Oct-2024</t>
        </is>
      </c>
      <c r="G39" s="14" t="n">
        <v>40000000</v>
      </c>
      <c r="H39" s="14" t="n">
        <v>460000</v>
      </c>
      <c r="I39" s="14" t="n">
        <v>187356</v>
      </c>
      <c r="J39" s="17" t="n">
        <v>0.175</v>
      </c>
      <c r="K39" s="15" t="inlineStr">
        <is>
          <t>Cancelled</t>
        </is>
      </c>
    </row>
    <row r="40">
      <c r="A40" s="7" t="inlineStr">
        <is>
          <t>ADM-ENG-MUL-2024-1035</t>
        </is>
      </c>
      <c r="B40" s="7" t="inlineStr">
        <is>
          <t>Multan</t>
        </is>
      </c>
      <c r="C40" s="7" t="inlineStr">
        <is>
          <t>Central</t>
        </is>
      </c>
      <c r="D40" s="7" t="inlineStr">
        <is>
          <t>Engineering</t>
        </is>
      </c>
      <c r="E40" s="7" t="inlineStr">
        <is>
          <t>Bancassurance</t>
        </is>
      </c>
      <c r="F40" s="7" t="inlineStr">
        <is>
          <t>Nov-2024</t>
        </is>
      </c>
      <c r="G40" s="11" t="n">
        <v>7500000</v>
      </c>
      <c r="H40" s="11" t="n">
        <v>102000</v>
      </c>
      <c r="I40" s="11" t="n">
        <v>94948</v>
      </c>
      <c r="J40" s="13" t="n">
        <v>0.175</v>
      </c>
      <c r="K40" s="7" t="inlineStr">
        <is>
          <t>Renewed</t>
        </is>
      </c>
    </row>
    <row r="41">
      <c r="A41" s="15" t="inlineStr">
        <is>
          <t>ADM-FIR-PEW-2024-1036</t>
        </is>
      </c>
      <c r="B41" s="15" t="inlineStr">
        <is>
          <t>Peshawar</t>
        </is>
      </c>
      <c r="C41" s="15" t="inlineStr">
        <is>
          <t>North</t>
        </is>
      </c>
      <c r="D41" s="15" t="inlineStr">
        <is>
          <t>Fire &amp; Property</t>
        </is>
      </c>
      <c r="E41" s="15" t="inlineStr">
        <is>
          <t>Corporate</t>
        </is>
      </c>
      <c r="F41" s="15" t="inlineStr">
        <is>
          <t>Dec-2024</t>
        </is>
      </c>
      <c r="G41" s="14" t="n">
        <v>4500000</v>
      </c>
      <c r="H41" s="14" t="n">
        <v>113000</v>
      </c>
      <c r="I41" s="14" t="n">
        <v>125166</v>
      </c>
      <c r="J41" s="17" t="n">
        <v>0.125</v>
      </c>
      <c r="K41" s="15" t="inlineStr">
        <is>
          <t>Active</t>
        </is>
      </c>
    </row>
    <row r="43">
      <c r="A43" s="9" t="inlineStr">
        <is>
          <t>Table B — Criteria</t>
        </is>
      </c>
    </row>
    <row r="44" ht="30" customHeight="1">
      <c r="A44" s="10" t="inlineStr">
        <is>
          <t>Criteria</t>
        </is>
      </c>
      <c r="B44" s="10" t="inlineStr">
        <is>
          <t>Value</t>
        </is>
      </c>
    </row>
    <row r="45">
      <c r="A45" s="7" t="inlineStr">
        <is>
          <t>Product</t>
        </is>
      </c>
      <c r="B45" s="7" t="inlineStr">
        <is>
          <t>Health</t>
        </is>
      </c>
    </row>
    <row r="46">
      <c r="A46" s="15" t="inlineStr">
        <is>
          <t>Channel</t>
        </is>
      </c>
      <c r="B46" s="15" t="inlineStr">
        <is>
          <t>Bancassurance</t>
        </is>
      </c>
    </row>
    <row r="47">
      <c r="A47" s="7" t="inlineStr">
        <is>
          <t>Loss ratio breach level</t>
        </is>
      </c>
      <c r="B47" s="43" t="n">
        <v>0.8</v>
      </c>
    </row>
    <row r="48">
      <c r="A48" s="15" t="inlineStr">
        <is>
          <t>Region</t>
        </is>
      </c>
      <c r="B48" s="15" t="inlineStr">
        <is>
          <t>South</t>
        </is>
      </c>
    </row>
    <row r="50">
      <c r="A50"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45.xml><?xml version="1.0" encoding="utf-8"?>
<worksheet xmlns="http://schemas.openxmlformats.org/spreadsheetml/2006/main">
  <sheetPr>
    <tabColor rgb="00C00000"/>
    <outlinePr summaryBelow="1" summaryRight="1"/>
    <pageSetUpPr/>
  </sheetPr>
  <dimension ref="A1:L33"/>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Bancassurance Channel Review pack</t>
        </is>
      </c>
    </row>
    <row r="3">
      <c r="A3" s="21" t="inlineStr">
        <is>
          <t>Prepared for:</t>
        </is>
      </c>
      <c r="B3" s="22" t="inlineStr">
        <is>
          <t>Head of Bancassurance</t>
        </is>
      </c>
    </row>
    <row r="4">
      <c r="A4" s="21" t="inlineStr">
        <is>
          <t>Prepared by:</t>
        </is>
      </c>
      <c r="B4" s="23" t="n"/>
    </row>
    <row r="5">
      <c r="A5" s="21" t="inlineStr">
        <is>
          <t>Reporting date:</t>
        </is>
      </c>
      <c r="B5" s="22" t="inlineStr">
        <is>
          <t>As at reporting date shown on the dataset</t>
        </is>
      </c>
    </row>
    <row r="7" ht="44" customHeight="1">
      <c r="A7" s="24" t="inlineStr">
        <is>
          <t>The half-yearly channel review needs counts and averages that the standard conditional functions cannot express. The pack was assembled last time by exporting to a pivot, copying the results and typing them into the slides, and two numbers did not tie back.</t>
        </is>
      </c>
    </row>
    <row r="9">
      <c r="A9" s="25" t="inlineStr">
        <is>
          <t>Source data: '2.5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Bancassurance Channel Review pack</t>
        </is>
      </c>
      <c r="C13" s="38" t="inlineStr">
        <is>
          <t>A review block for the selected product and channel: Policy Count | Average Premium | Distinct branches selling the product | Count of policies breaching the loss ratio level. All four from formulas on the live extract.</t>
        </is>
      </c>
      <c r="D13" s="37" t="inlineStr">
        <is>
          <t>Head of Bancassurance</t>
        </is>
      </c>
      <c r="E13" s="31" t="n"/>
    </row>
    <row r="14" ht="52" customHeight="1">
      <c r="A14" s="35" t="n">
        <v>2</v>
      </c>
      <c r="B14" s="36" t="inlineStr">
        <is>
          <t>Top-five accounts and the trimmed average</t>
        </is>
      </c>
      <c r="C14" s="38" t="inlineStr">
        <is>
          <t>Three figures side by side: headline average premium | average of the top five policies | average excluding the single largest and single smallest policy. Each clearly labelled.</t>
        </is>
      </c>
      <c r="D14" s="37" t="inlineStr">
        <is>
          <t>Chief Underwriting Officer</t>
        </is>
      </c>
      <c r="E14" s="31" t="n"/>
    </row>
    <row r="15" ht="65" customHeight="1">
      <c r="A15" s="35" t="n">
        <v>3</v>
      </c>
      <c r="B15" s="36" t="inlineStr">
        <is>
          <t>Regional outperformer count</t>
        </is>
      </c>
      <c r="C15" s="38" t="inlineStr">
        <is>
          <t>A single figure with its supporting detail: count of policies in the selected region above that region's average premium, the region average itself, and the same count expressed as a percentage of regional policies.</t>
        </is>
      </c>
      <c r="D15" s="37" t="inlineStr">
        <is>
          <t>Regional Head — South</t>
        </is>
      </c>
      <c r="E15" s="31" t="n"/>
    </row>
    <row r="17" ht="20" customHeight="1">
      <c r="A17" s="33" t="inlineStr">
        <is>
          <t>BUILD YOUR REPORT / OUTPUT BELOW  (pivot, chart, macro output, or model — as required above)</t>
        </is>
      </c>
    </row>
    <row r="18" ht="16" customHeight="1">
      <c r="A18" s="31" t="n"/>
      <c r="B18" s="31" t="n"/>
      <c r="C18" s="31" t="n"/>
      <c r="D18" s="31" t="n"/>
      <c r="E18" s="31" t="n"/>
      <c r="F18" s="31" t="n"/>
      <c r="G18" s="31" t="n"/>
      <c r="H18" s="31" t="n"/>
      <c r="I18" s="31" t="n"/>
      <c r="J18" s="31" t="n"/>
      <c r="K18" s="31" t="n"/>
    </row>
    <row r="19">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3" ht="32" customHeight="1">
      <c r="A33"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7:K7"/>
    <mergeCell ref="A1:L1"/>
    <mergeCell ref="A33:E33"/>
    <mergeCell ref="A11:E11"/>
    <mergeCell ref="A17:E17"/>
  </mergeCells>
  <hyperlinks>
    <hyperlink xmlns:r="http://schemas.openxmlformats.org/officeDocument/2006/relationships" ref="A9" r:id="rId1"/>
  </hyperlinks>
  <pageMargins left="0.75" right="0.75" top="1" bottom="1" header="0.5" footer="0.5"/>
</worksheet>
</file>

<file path=xl/worksheets/sheet46.xml><?xml version="1.0" encoding="utf-8"?>
<worksheet xmlns="http://schemas.openxmlformats.org/spreadsheetml/2006/main">
  <sheetPr>
    <tabColor rgb="001F3864"/>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20" customWidth="1" min="1" max="1"/>
    <col width="10" customWidth="1" min="2" max="2"/>
    <col width="22" customWidth="1" min="3" max="3"/>
    <col width="14" customWidth="1" min="4" max="4"/>
    <col width="22" customWidth="1" min="5" max="5"/>
    <col width="24" customWidth="1" min="6" max="6"/>
    <col width="14" customWidth="1" min="7" max="7"/>
    <col width="16" customWidth="1" min="8" max="8"/>
  </cols>
  <sheetData>
    <row r="1" ht="26" customHeight="1">
      <c r="A1" s="1" t="inlineStr">
        <is>
          <t>Dataset 2.6  —  Nested IF (Advanced Multi-Level Logic)</t>
        </is>
      </c>
    </row>
    <row r="2" ht="16" customHeight="1">
      <c r="A2" s="2" t="inlineStr">
        <is>
          <t>Session 2: Array Formulas, Advanced Logic &amp; Named Ranges | Part B: Advanced Logical and Math Functions   |   Adamjee Assurance Company Limited (Pakistan) — training data, figures in PKR</t>
        </is>
      </c>
    </row>
    <row r="4">
      <c r="A4" s="9" t="inlineStr">
        <is>
          <t>Table A — Agent production for the month</t>
        </is>
      </c>
    </row>
    <row r="5" ht="30" customHeight="1">
      <c r="A5" s="10" t="inlineStr">
        <is>
          <t>Agent Code</t>
        </is>
      </c>
      <c r="B5" s="10" t="inlineStr">
        <is>
          <t>Agent Name</t>
        </is>
      </c>
      <c r="C5" s="10" t="inlineStr">
        <is>
          <t>Branch</t>
        </is>
      </c>
      <c r="D5" s="10" t="inlineStr">
        <is>
          <t>Channel</t>
        </is>
      </c>
      <c r="E5" s="10" t="inlineStr">
        <is>
          <t>GWP Generated (PKR)</t>
        </is>
      </c>
      <c r="F5" s="10" t="inlineStr">
        <is>
          <t>Claims on Portfolio (PKR)</t>
        </is>
      </c>
      <c r="G5" s="10" t="inlineStr">
        <is>
          <t>Policies Sold</t>
        </is>
      </c>
      <c r="H5" s="10" t="inlineStr">
        <is>
          <t>Years of Service</t>
        </is>
      </c>
    </row>
    <row r="6">
      <c r="A6" s="7" t="inlineStr">
        <is>
          <t>AG-KHI-011</t>
        </is>
      </c>
      <c r="B6" s="7" t="inlineStr">
        <is>
          <t>Tariq Jameel</t>
        </is>
      </c>
      <c r="C6" s="7" t="inlineStr">
        <is>
          <t>Karachi Main</t>
        </is>
      </c>
      <c r="D6" s="7" t="inlineStr">
        <is>
          <t>Agency</t>
        </is>
      </c>
      <c r="E6" s="11" t="n">
        <v>36067428</v>
      </c>
      <c r="F6" s="11" t="n">
        <v>22742422</v>
      </c>
      <c r="G6" s="11" t="n">
        <v>267</v>
      </c>
      <c r="H6" s="48" t="n">
        <v>9</v>
      </c>
    </row>
    <row r="7">
      <c r="A7" s="15" t="inlineStr">
        <is>
          <t>AG-LHR-012</t>
        </is>
      </c>
      <c r="B7" s="15" t="inlineStr">
        <is>
          <t>Nadia Hassan</t>
        </is>
      </c>
      <c r="C7" s="15" t="inlineStr">
        <is>
          <t>Lahore Gulberg</t>
        </is>
      </c>
      <c r="D7" s="15" t="inlineStr">
        <is>
          <t>Direct</t>
        </is>
      </c>
      <c r="E7" s="14" t="n">
        <v>11808410</v>
      </c>
      <c r="F7" s="14" t="n">
        <v>11990618</v>
      </c>
      <c r="G7" s="14" t="n">
        <v>166</v>
      </c>
      <c r="H7" s="49" t="n">
        <v>6.7</v>
      </c>
    </row>
    <row r="8">
      <c r="A8" s="7" t="inlineStr">
        <is>
          <t>AG-ISB-013</t>
        </is>
      </c>
      <c r="B8" s="7" t="inlineStr">
        <is>
          <t>Salman Shah</t>
        </is>
      </c>
      <c r="C8" s="7" t="inlineStr">
        <is>
          <t>Islamabad Blue Area</t>
        </is>
      </c>
      <c r="D8" s="7" t="inlineStr">
        <is>
          <t>Corporate</t>
        </is>
      </c>
      <c r="E8" s="11" t="n">
        <v>9727848</v>
      </c>
      <c r="F8" s="11" t="n">
        <v>7017049</v>
      </c>
      <c r="G8" s="11" t="n">
        <v>104</v>
      </c>
      <c r="H8" s="48" t="n">
        <v>9.9</v>
      </c>
    </row>
    <row r="9">
      <c r="A9" s="15" t="inlineStr">
        <is>
          <t>AG-FSD-014</t>
        </is>
      </c>
      <c r="B9" s="15" t="inlineStr">
        <is>
          <t>Komal Bashir</t>
        </is>
      </c>
      <c r="C9" s="15" t="inlineStr">
        <is>
          <t>Faisalabad</t>
        </is>
      </c>
      <c r="D9" s="15" t="inlineStr">
        <is>
          <t>Bancassurance</t>
        </is>
      </c>
      <c r="E9" s="14" t="n">
        <v>24841593</v>
      </c>
      <c r="F9" s="14" t="n">
        <v>16283806</v>
      </c>
      <c r="G9" s="14" t="n">
        <v>189</v>
      </c>
      <c r="H9" s="49" t="n">
        <v>7.6</v>
      </c>
    </row>
    <row r="10">
      <c r="A10" s="7" t="inlineStr">
        <is>
          <t>AG-MUL-015</t>
        </is>
      </c>
      <c r="B10" s="7" t="inlineStr">
        <is>
          <t>Waqar Younis Khan</t>
        </is>
      </c>
      <c r="C10" s="7" t="inlineStr">
        <is>
          <t>Multan</t>
        </is>
      </c>
      <c r="D10" s="7" t="inlineStr">
        <is>
          <t>Corporate</t>
        </is>
      </c>
      <c r="E10" s="11" t="n">
        <v>37268616</v>
      </c>
      <c r="F10" s="11" t="n">
        <v>31678323</v>
      </c>
      <c r="G10" s="11" t="n">
        <v>294</v>
      </c>
      <c r="H10" s="48" t="n">
        <v>13.2</v>
      </c>
    </row>
    <row r="11">
      <c r="A11" s="15" t="inlineStr">
        <is>
          <t>AG-PEW-016</t>
        </is>
      </c>
      <c r="B11" s="15" t="inlineStr">
        <is>
          <t>Amna Zubair</t>
        </is>
      </c>
      <c r="C11" s="15" t="inlineStr">
        <is>
          <t>Peshawar</t>
        </is>
      </c>
      <c r="D11" s="15" t="inlineStr">
        <is>
          <t>Bancassurance</t>
        </is>
      </c>
      <c r="E11" s="14" t="n">
        <v>8145792</v>
      </c>
      <c r="F11" s="14" t="n">
        <v>9848948</v>
      </c>
      <c r="G11" s="14" t="n">
        <v>64</v>
      </c>
      <c r="H11" s="49" t="n">
        <v>3.2</v>
      </c>
    </row>
    <row r="12">
      <c r="A12" s="7" t="inlineStr">
        <is>
          <t>AG-QTA-017</t>
        </is>
      </c>
      <c r="B12" s="7" t="inlineStr">
        <is>
          <t>Rizwan Ali Soomro</t>
        </is>
      </c>
      <c r="C12" s="7" t="inlineStr">
        <is>
          <t>Quetta</t>
        </is>
      </c>
      <c r="D12" s="7" t="inlineStr">
        <is>
          <t>Bancassurance</t>
        </is>
      </c>
      <c r="E12" s="11" t="n">
        <v>36601299</v>
      </c>
      <c r="F12" s="11" t="n">
        <v>24675724</v>
      </c>
      <c r="G12" s="11" t="n">
        <v>301</v>
      </c>
      <c r="H12" s="48" t="n">
        <v>3.2</v>
      </c>
    </row>
    <row r="13">
      <c r="A13" s="15" t="inlineStr">
        <is>
          <t>AG-HYD-018</t>
        </is>
      </c>
      <c r="B13" s="15" t="inlineStr">
        <is>
          <t>Farhan Dar</t>
        </is>
      </c>
      <c r="C13" s="15" t="inlineStr">
        <is>
          <t>Hyderabad</t>
        </is>
      </c>
      <c r="D13" s="15" t="inlineStr">
        <is>
          <t>Bancassurance</t>
        </is>
      </c>
      <c r="E13" s="14" t="n">
        <v>5947392</v>
      </c>
      <c r="F13" s="14" t="n">
        <v>2739203</v>
      </c>
      <c r="G13" s="14" t="n">
        <v>128</v>
      </c>
      <c r="H13" s="49" t="n">
        <v>6.3</v>
      </c>
    </row>
    <row r="14">
      <c r="A14" s="7" t="inlineStr">
        <is>
          <t>AG-SKT-019</t>
        </is>
      </c>
      <c r="B14" s="7" t="inlineStr">
        <is>
          <t>Sobia Naz</t>
        </is>
      </c>
      <c r="C14" s="7" t="inlineStr">
        <is>
          <t>Sialkot</t>
        </is>
      </c>
      <c r="D14" s="7" t="inlineStr">
        <is>
          <t>Direct</t>
        </is>
      </c>
      <c r="E14" s="11" t="n">
        <v>23102794</v>
      </c>
      <c r="F14" s="11" t="n">
        <v>27954225</v>
      </c>
      <c r="G14" s="11" t="n">
        <v>286</v>
      </c>
      <c r="H14" s="48" t="n">
        <v>2.5</v>
      </c>
    </row>
    <row r="15">
      <c r="A15" s="15" t="inlineStr">
        <is>
          <t>AG-RWP-020</t>
        </is>
      </c>
      <c r="B15" s="15" t="inlineStr">
        <is>
          <t>Junaid Akram</t>
        </is>
      </c>
      <c r="C15" s="15" t="inlineStr">
        <is>
          <t>Rawalpindi</t>
        </is>
      </c>
      <c r="D15" s="15" t="inlineStr">
        <is>
          <t>Bancassurance</t>
        </is>
      </c>
      <c r="E15" s="14" t="n">
        <v>11738760</v>
      </c>
      <c r="F15" s="14" t="n">
        <v>10174344</v>
      </c>
      <c r="G15" s="14" t="n">
        <v>264</v>
      </c>
      <c r="H15" s="49" t="n">
        <v>6.2</v>
      </c>
    </row>
    <row r="16">
      <c r="A16" s="7" t="inlineStr">
        <is>
          <t>AG-KHI-021</t>
        </is>
      </c>
      <c r="B16" s="7" t="inlineStr">
        <is>
          <t>Hamid Raza</t>
        </is>
      </c>
      <c r="C16" s="7" t="inlineStr">
        <is>
          <t>Karachi Main</t>
        </is>
      </c>
      <c r="D16" s="7" t="inlineStr">
        <is>
          <t>Corporate</t>
        </is>
      </c>
      <c r="E16" s="11" t="n">
        <v>11335950</v>
      </c>
      <c r="F16" s="11" t="n">
        <v>5067218</v>
      </c>
      <c r="G16" s="11" t="n">
        <v>90</v>
      </c>
      <c r="H16" s="48" t="n">
        <v>10.2</v>
      </c>
    </row>
    <row r="17">
      <c r="A17" s="15" t="inlineStr">
        <is>
          <t>AG-LHR-022</t>
        </is>
      </c>
      <c r="B17" s="15" t="inlineStr">
        <is>
          <t>Nimra Saleem</t>
        </is>
      </c>
      <c r="C17" s="15" t="inlineStr">
        <is>
          <t>Lahore Gulberg</t>
        </is>
      </c>
      <c r="D17" s="15" t="inlineStr">
        <is>
          <t>Agency</t>
        </is>
      </c>
      <c r="E17" s="14" t="n">
        <v>32916646</v>
      </c>
      <c r="F17" s="14" t="n">
        <v>33321403</v>
      </c>
      <c r="G17" s="14" t="n">
        <v>317</v>
      </c>
      <c r="H17" s="49" t="n">
        <v>2.6</v>
      </c>
    </row>
    <row r="19">
      <c r="A19" s="9" t="inlineStr">
        <is>
          <t>Table B — Commission slab scheme (editable)</t>
        </is>
      </c>
    </row>
    <row r="20" ht="30" customHeight="1">
      <c r="A20" s="10" t="inlineStr">
        <is>
          <t>GWP From (PKR)</t>
        </is>
      </c>
      <c r="B20" s="10" t="inlineStr">
        <is>
          <t>GWP To (PKR)</t>
        </is>
      </c>
      <c r="C20" s="10" t="inlineStr">
        <is>
          <t>Commission Rate</t>
        </is>
      </c>
      <c r="D20" s="10" t="inlineStr">
        <is>
          <t>Slab Name</t>
        </is>
      </c>
    </row>
    <row r="21">
      <c r="A21" s="11" t="n">
        <v>0</v>
      </c>
      <c r="B21" s="11" t="n">
        <v>4999999</v>
      </c>
      <c r="C21" s="13" t="n">
        <v>0.075</v>
      </c>
      <c r="D21" s="7" t="inlineStr">
        <is>
          <t>Bronze</t>
        </is>
      </c>
    </row>
    <row r="22">
      <c r="A22" s="14" t="n">
        <v>5000000</v>
      </c>
      <c r="B22" s="14" t="n">
        <v>9999999</v>
      </c>
      <c r="C22" s="17" t="n">
        <v>0.1</v>
      </c>
      <c r="D22" s="15" t="inlineStr">
        <is>
          <t>Silver</t>
        </is>
      </c>
    </row>
    <row r="23">
      <c r="A23" s="11" t="n">
        <v>10000000</v>
      </c>
      <c r="B23" s="11" t="n">
        <v>19999999</v>
      </c>
      <c r="C23" s="13" t="n">
        <v>0.13</v>
      </c>
      <c r="D23" s="7" t="inlineStr">
        <is>
          <t>Gold</t>
        </is>
      </c>
    </row>
    <row r="24">
      <c r="A24" s="14" t="n">
        <v>20000000</v>
      </c>
      <c r="B24" s="14" t="n">
        <v>999999999</v>
      </c>
      <c r="C24" s="17" t="n">
        <v>0.16</v>
      </c>
      <c r="D24" s="15" t="inlineStr">
        <is>
          <t>Platinum</t>
        </is>
      </c>
    </row>
    <row r="26">
      <c r="A26" s="9" t="inlineStr">
        <is>
          <t>Table C — Risk grading rules</t>
        </is>
      </c>
    </row>
    <row r="27" ht="30" customHeight="1">
      <c r="A27" s="10" t="inlineStr">
        <is>
          <t>Loss Ratio</t>
        </is>
      </c>
      <c r="B27" s="10" t="inlineStr">
        <is>
          <t>Grade</t>
        </is>
      </c>
      <c r="C27" s="10" t="inlineStr">
        <is>
          <t>Action</t>
        </is>
      </c>
    </row>
    <row r="28">
      <c r="A28" s="7" t="inlineStr">
        <is>
          <t>Below 40%</t>
        </is>
      </c>
      <c r="B28" s="7" t="inlineStr">
        <is>
          <t>A</t>
        </is>
      </c>
      <c r="C28" s="7" t="inlineStr">
        <is>
          <t>Full bonus</t>
        </is>
      </c>
    </row>
    <row r="29">
      <c r="A29" s="15" t="inlineStr">
        <is>
          <t>40% to below 60%</t>
        </is>
      </c>
      <c r="B29" s="15" t="inlineStr">
        <is>
          <t>B</t>
        </is>
      </c>
      <c r="C29" s="15" t="inlineStr">
        <is>
          <t>Standard bonus</t>
        </is>
      </c>
    </row>
    <row r="30">
      <c r="A30" s="7" t="inlineStr">
        <is>
          <t>60% to below 80%</t>
        </is>
      </c>
      <c r="B30" s="7" t="inlineStr">
        <is>
          <t>C</t>
        </is>
      </c>
      <c r="C30" s="7" t="inlineStr">
        <is>
          <t>Bonus withheld</t>
        </is>
      </c>
    </row>
    <row r="31">
      <c r="A31" s="15" t="inlineStr">
        <is>
          <t>80% and above</t>
        </is>
      </c>
      <c r="B31" s="15" t="inlineStr">
        <is>
          <t>D</t>
        </is>
      </c>
      <c r="C31" s="15" t="inlineStr">
        <is>
          <t>Portfolio review</t>
        </is>
      </c>
    </row>
    <row r="33">
      <c r="A3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47.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Monthly Agent Commission Statement</t>
        </is>
      </c>
    </row>
    <row r="3">
      <c r="A3" s="21" t="inlineStr">
        <is>
          <t>Prepared for:</t>
        </is>
      </c>
      <c r="B3" s="22" t="inlineStr">
        <is>
          <t>Head of Agency Distribution</t>
        </is>
      </c>
    </row>
    <row r="4">
      <c r="A4" s="21" t="inlineStr">
        <is>
          <t>Prepared by:</t>
        </is>
      </c>
      <c r="B4" s="23" t="n"/>
    </row>
    <row r="5">
      <c r="A5" s="21" t="inlineStr">
        <is>
          <t>Reporting date:</t>
        </is>
      </c>
      <c r="B5" s="22" t="inlineStr">
        <is>
          <t>As at reporting date shown on the dataset</t>
        </is>
      </c>
    </row>
    <row r="7" ht="44" customHeight="1">
      <c r="A7" s="24" t="inlineStr">
        <is>
          <t>Twelve hundred agents are paid on a four-tier slab scheme. The scheme changes twice a year and the current statement has the rates typed inside the formulas, so the January change took an analyst three days and two agents were paid on the old rate for a further month.</t>
        </is>
      </c>
    </row>
    <row r="9">
      <c r="A9" s="25" t="inlineStr">
        <is>
          <t>Source data: '2.6 Data'  (click to open)</t>
        </is>
      </c>
    </row>
    <row r="11" ht="16" customHeight="1">
      <c r="A11" s="26" t="inlineStr">
        <is>
          <t>Navy headers below = data linked live from the dataset sheet.   Gold headers = blank — build your formula here.</t>
        </is>
      </c>
    </row>
    <row r="12" ht="30" customHeight="1">
      <c r="A12" s="10" t="inlineStr">
        <is>
          <t>Agent Code</t>
        </is>
      </c>
      <c r="B12" s="10" t="inlineStr">
        <is>
          <t>Name</t>
        </is>
      </c>
      <c r="C12" s="10" t="inlineStr">
        <is>
          <t>Branch</t>
        </is>
      </c>
      <c r="D12" s="10" t="inlineStr">
        <is>
          <t>GWP Generated</t>
        </is>
      </c>
      <c r="E12" s="27" t="inlineStr">
        <is>
          <t>Slab Name</t>
        </is>
      </c>
      <c r="F12" s="27" t="inlineStr">
        <is>
          <t>Commission Rate</t>
        </is>
      </c>
      <c r="G12" s="27" t="inlineStr">
        <is>
          <t>Commission Payable</t>
        </is>
      </c>
    </row>
    <row r="13">
      <c r="A13" s="7">
        <f>'2.6 Data'!A6</f>
        <v/>
      </c>
      <c r="B13" s="7">
        <f>'2.6 Data'!B6</f>
        <v/>
      </c>
      <c r="C13" s="7">
        <f>'2.6 Data'!C6</f>
        <v/>
      </c>
      <c r="D13" s="11">
        <f>'2.6 Data'!E6</f>
        <v/>
      </c>
      <c r="E13" s="28" t="n"/>
      <c r="F13" s="28" t="n"/>
      <c r="G13" s="28" t="n"/>
    </row>
    <row r="14">
      <c r="A14" s="15">
        <f>'2.6 Data'!A7</f>
        <v/>
      </c>
      <c r="B14" s="15">
        <f>'2.6 Data'!B7</f>
        <v/>
      </c>
      <c r="C14" s="15">
        <f>'2.6 Data'!C7</f>
        <v/>
      </c>
      <c r="D14" s="14">
        <f>'2.6 Data'!E7</f>
        <v/>
      </c>
      <c r="E14" s="28" t="n"/>
      <c r="F14" s="28" t="n"/>
      <c r="G14" s="28" t="n"/>
    </row>
    <row r="15">
      <c r="A15" s="7">
        <f>'2.6 Data'!A8</f>
        <v/>
      </c>
      <c r="B15" s="7">
        <f>'2.6 Data'!B8</f>
        <v/>
      </c>
      <c r="C15" s="7">
        <f>'2.6 Data'!C8</f>
        <v/>
      </c>
      <c r="D15" s="11">
        <f>'2.6 Data'!E8</f>
        <v/>
      </c>
      <c r="E15" s="28" t="n"/>
      <c r="F15" s="28" t="n"/>
      <c r="G15" s="28" t="n"/>
    </row>
    <row r="16">
      <c r="A16" s="15">
        <f>'2.6 Data'!A9</f>
        <v/>
      </c>
      <c r="B16" s="15">
        <f>'2.6 Data'!B9</f>
        <v/>
      </c>
      <c r="C16" s="15">
        <f>'2.6 Data'!C9</f>
        <v/>
      </c>
      <c r="D16" s="14">
        <f>'2.6 Data'!E9</f>
        <v/>
      </c>
      <c r="E16" s="28" t="n"/>
      <c r="F16" s="28" t="n"/>
      <c r="G16" s="28" t="n"/>
    </row>
    <row r="17">
      <c r="A17" s="7">
        <f>'2.6 Data'!A10</f>
        <v/>
      </c>
      <c r="B17" s="7">
        <f>'2.6 Data'!B10</f>
        <v/>
      </c>
      <c r="C17" s="7">
        <f>'2.6 Data'!C10</f>
        <v/>
      </c>
      <c r="D17" s="11">
        <f>'2.6 Data'!E10</f>
        <v/>
      </c>
      <c r="E17" s="28" t="n"/>
      <c r="F17" s="28" t="n"/>
      <c r="G17" s="28" t="n"/>
    </row>
    <row r="18">
      <c r="A18" s="15">
        <f>'2.6 Data'!A11</f>
        <v/>
      </c>
      <c r="B18" s="15">
        <f>'2.6 Data'!B11</f>
        <v/>
      </c>
      <c r="C18" s="15">
        <f>'2.6 Data'!C11</f>
        <v/>
      </c>
      <c r="D18" s="14">
        <f>'2.6 Data'!E11</f>
        <v/>
      </c>
      <c r="E18" s="28" t="n"/>
      <c r="F18" s="28" t="n"/>
      <c r="G18" s="28" t="n"/>
    </row>
    <row r="19">
      <c r="A19" s="7">
        <f>'2.6 Data'!A12</f>
        <v/>
      </c>
      <c r="B19" s="7">
        <f>'2.6 Data'!B12</f>
        <v/>
      </c>
      <c r="C19" s="7">
        <f>'2.6 Data'!C12</f>
        <v/>
      </c>
      <c r="D19" s="11">
        <f>'2.6 Data'!E12</f>
        <v/>
      </c>
      <c r="E19" s="28" t="n"/>
      <c r="F19" s="28" t="n"/>
      <c r="G19" s="28" t="n"/>
    </row>
    <row r="20">
      <c r="A20" s="15">
        <f>'2.6 Data'!A13</f>
        <v/>
      </c>
      <c r="B20" s="15">
        <f>'2.6 Data'!B13</f>
        <v/>
      </c>
      <c r="C20" s="15">
        <f>'2.6 Data'!C13</f>
        <v/>
      </c>
      <c r="D20" s="14">
        <f>'2.6 Data'!E13</f>
        <v/>
      </c>
      <c r="E20" s="28" t="n"/>
      <c r="F20" s="28" t="n"/>
      <c r="G20" s="28" t="n"/>
    </row>
    <row r="21">
      <c r="A21" s="7">
        <f>'2.6 Data'!A14</f>
        <v/>
      </c>
      <c r="B21" s="7">
        <f>'2.6 Data'!B14</f>
        <v/>
      </c>
      <c r="C21" s="7">
        <f>'2.6 Data'!C14</f>
        <v/>
      </c>
      <c r="D21" s="11">
        <f>'2.6 Data'!E14</f>
        <v/>
      </c>
      <c r="E21" s="28" t="n"/>
      <c r="F21" s="28" t="n"/>
      <c r="G21" s="28" t="n"/>
    </row>
    <row r="22">
      <c r="A22" s="15">
        <f>'2.6 Data'!A15</f>
        <v/>
      </c>
      <c r="B22" s="15">
        <f>'2.6 Data'!B15</f>
        <v/>
      </c>
      <c r="C22" s="15">
        <f>'2.6 Data'!C15</f>
        <v/>
      </c>
      <c r="D22" s="14">
        <f>'2.6 Data'!E15</f>
        <v/>
      </c>
      <c r="E22" s="28" t="n"/>
      <c r="F22" s="28" t="n"/>
      <c r="G22" s="28" t="n"/>
    </row>
    <row r="23">
      <c r="A23" s="7">
        <f>'2.6 Data'!A16</f>
        <v/>
      </c>
      <c r="B23" s="7">
        <f>'2.6 Data'!B16</f>
        <v/>
      </c>
      <c r="C23" s="7">
        <f>'2.6 Data'!C16</f>
        <v/>
      </c>
      <c r="D23" s="11">
        <f>'2.6 Data'!E16</f>
        <v/>
      </c>
      <c r="E23" s="28" t="n"/>
      <c r="F23" s="28" t="n"/>
      <c r="G23" s="28" t="n"/>
    </row>
    <row r="24">
      <c r="A24" s="15">
        <f>'2.6 Data'!A17</f>
        <v/>
      </c>
      <c r="B24" s="15">
        <f>'2.6 Data'!B17</f>
        <v/>
      </c>
      <c r="C24" s="15">
        <f>'2.6 Data'!C17</f>
        <v/>
      </c>
      <c r="D24" s="14">
        <f>'2.6 Data'!E17</f>
        <v/>
      </c>
      <c r="E24" s="28" t="n"/>
      <c r="F24" s="28" t="n"/>
      <c r="G24" s="28" t="n"/>
    </row>
    <row r="25">
      <c r="A25" s="29" t="inlineStr">
        <is>
          <t>TOTAL / RESULT</t>
        </is>
      </c>
      <c r="B25" s="30" t="n"/>
      <c r="C25" s="30" t="n"/>
      <c r="D25" s="30" t="n"/>
      <c r="E25" s="31" t="n"/>
      <c r="F25" s="31" t="n"/>
      <c r="G25" s="31" t="n"/>
    </row>
    <row r="27" ht="32" customHeight="1">
      <c r="A27"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9" ht="19" customHeight="1">
      <c r="A29" s="33" t="inlineStr">
        <is>
          <t>FURTHER REQUESTS ON THIS DATASET</t>
        </is>
      </c>
    </row>
    <row r="30" ht="20" customHeight="1">
      <c r="A30" s="34" t="inlineStr">
        <is>
          <t>#</t>
        </is>
      </c>
      <c r="B30" s="34" t="inlineStr">
        <is>
          <t>Request</t>
        </is>
      </c>
      <c r="C30" s="34" t="inlineStr">
        <is>
          <t>Requested by</t>
        </is>
      </c>
      <c r="D30" s="34" t="inlineStr">
        <is>
          <t>Report / figure required</t>
        </is>
      </c>
      <c r="E30" s="34" t="inlineStr">
        <is>
          <t>Your formula or answer</t>
        </is>
      </c>
    </row>
    <row r="31" ht="65" customHeight="1">
      <c r="A31" s="35" t="n">
        <v>1</v>
      </c>
      <c r="B31" s="36" t="inlineStr">
        <is>
          <t>Agent Portfolio Risk Grading</t>
        </is>
      </c>
      <c r="C31" s="37" t="inlineStr">
        <is>
          <t>Chief Underwriting Officer</t>
        </is>
      </c>
      <c r="D31" s="38" t="inlineStr">
        <is>
          <t>A grading column: Agent | Loss Ratio | Grade A to D per the published rules | Bonus Action. Grades derived by formula from the loss ratio, with the rule boundaries in cells.</t>
        </is>
      </c>
      <c r="E31" s="39" t="n"/>
    </row>
    <row r="32" ht="52" customHeight="1">
      <c r="A32" s="35" t="n">
        <v>2</v>
      </c>
      <c r="B32" s="36" t="inlineStr">
        <is>
          <t>Seniority override for long-service agents</t>
        </is>
      </c>
      <c r="C32" s="37" t="inlineStr">
        <is>
          <t>Head of Agency Distribution</t>
        </is>
      </c>
      <c r="D32" s="38" t="inlineStr">
        <is>
          <t>The grading column with the seniority override applied, plus a flag column showing which agents the override actually changed and by how many grades.</t>
        </is>
      </c>
      <c r="E32" s="39" t="n"/>
    </row>
    <row r="33" ht="78" customHeight="1">
      <c r="A33" s="35" t="n">
        <v>3</v>
      </c>
      <c r="B33" s="36" t="inlineStr">
        <is>
          <t>Scheme change impact assessment</t>
        </is>
      </c>
      <c r="C33" s="37" t="inlineStr">
        <is>
          <t>Chief Financial Officer</t>
        </is>
      </c>
      <c r="D33" s="38" t="inlineStr">
        <is>
          <t>An impact summary: total commission payable under the current scheme, under a scheme where every rate rises by one percentage point, and the difference in rupees and per cent. Achieved by changing the scheme table only.</t>
        </is>
      </c>
      <c r="E33" s="39" t="n"/>
    </row>
    <row r="34" ht="65" customHeight="1">
      <c r="A34" s="35" t="n">
        <v>4</v>
      </c>
      <c r="B34" s="36" t="inlineStr">
        <is>
          <t>Method note for the payroll handover</t>
        </is>
      </c>
      <c r="C34" s="37" t="inlineStr">
        <is>
          <t>Head of Agency Distribution</t>
        </is>
      </c>
      <c r="D34" s="38" t="inlineStr">
        <is>
          <t>A two-line note recommending nested IF or VLOOKUP approximate match for the slab, with your reasoning, and one sentence on what happens if the nested IF tests are written in the wrong order.</t>
        </is>
      </c>
      <c r="E34" s="39" t="n"/>
    </row>
  </sheetData>
  <mergeCells count="6">
    <mergeCell ref="A2:L2"/>
    <mergeCell ref="A27:G27"/>
    <mergeCell ref="A7:K7"/>
    <mergeCell ref="A1:L1"/>
    <mergeCell ref="A11:G11"/>
    <mergeCell ref="A29:F29"/>
  </mergeCells>
  <hyperlinks>
    <hyperlink xmlns:r="http://schemas.openxmlformats.org/officeDocument/2006/relationships" ref="A9" r:id="rId1"/>
  </hyperlinks>
  <pageMargins left="0.75" right="0.75" top="1" bottom="1" header="0.5" footer="0.5"/>
</worksheet>
</file>

<file path=xl/worksheets/sheet48.xml><?xml version="1.0" encoding="utf-8"?>
<worksheet xmlns="http://schemas.openxmlformats.org/spreadsheetml/2006/main">
  <sheetPr>
    <tabColor rgb="001F3864"/>
    <outlinePr summaryBelow="1" summaryRight="1"/>
    <pageSetUpPr/>
  </sheetPr>
  <dimension ref="A1:J41"/>
  <sheetViews>
    <sheetView showGridLines="0" workbookViewId="0">
      <pane ySplit="5" topLeftCell="A6" activePane="bottomLeft" state="frozen"/>
      <selection pane="bottomLeft" activeCell="A1" sqref="A1"/>
    </sheetView>
  </sheetViews>
  <sheetFormatPr baseColWidth="8" defaultRowHeight="15"/>
  <cols>
    <col width="40" customWidth="1" min="1" max="1"/>
    <col width="20" customWidth="1" min="2" max="2"/>
    <col width="18" customWidth="1" min="3" max="3"/>
    <col width="18" customWidth="1" min="4" max="4"/>
    <col width="20" customWidth="1" min="5" max="5"/>
    <col width="13" customWidth="1" min="6" max="6"/>
    <col width="20" customWidth="1" min="7" max="7"/>
    <col width="16" customWidth="1" min="8" max="8"/>
    <col width="22" customWidth="1" min="9" max="9"/>
    <col width="18" customWidth="1" min="10" max="10"/>
  </cols>
  <sheetData>
    <row r="1" ht="26" customHeight="1">
      <c r="A1" s="1" t="inlineStr">
        <is>
          <t>Dataset 2.7  —  AND, OR Combined with IF</t>
        </is>
      </c>
    </row>
    <row r="2" ht="16" customHeight="1">
      <c r="A2" s="2" t="inlineStr">
        <is>
          <t>Session 2: Array Formulas, Advanced Logic &amp; Named Ranges | Part B: Advanced Logical and Math Functions   |   Adamjee Assurance Company Limited (Pakistan) — training data, figures in PKR</t>
        </is>
      </c>
    </row>
    <row r="4">
      <c r="A4" s="9" t="inlineStr">
        <is>
          <t>Table A — Renewal review file</t>
        </is>
      </c>
    </row>
    <row r="5" ht="30" customHeight="1">
      <c r="A5" s="10" t="inlineStr">
        <is>
          <t>Policy No</t>
        </is>
      </c>
      <c r="B5" s="10" t="inlineStr">
        <is>
          <t>Branch</t>
        </is>
      </c>
      <c r="C5" s="10" t="inlineStr">
        <is>
          <t>Product</t>
        </is>
      </c>
      <c r="D5" s="10" t="inlineStr">
        <is>
          <t>Sum Insured (PKR)</t>
        </is>
      </c>
      <c r="E5" s="10" t="inlineStr">
        <is>
          <t>Gross Premium (PKR)</t>
        </is>
      </c>
      <c r="F5" s="10" t="inlineStr">
        <is>
          <t>Claims Count</t>
        </is>
      </c>
      <c r="G5" s="10" t="inlineStr">
        <is>
          <t>Claims Paid (PKR)</t>
        </is>
      </c>
      <c r="H5" s="10" t="inlineStr">
        <is>
          <t>Years with Adamjee</t>
        </is>
      </c>
      <c r="I5" s="10" t="inlineStr">
        <is>
          <t>Premium Outstanding (PKR)</t>
        </is>
      </c>
      <c r="J5" s="10" t="inlineStr">
        <is>
          <t>Survey Report on File</t>
        </is>
      </c>
    </row>
    <row r="6">
      <c r="A6" s="7" t="inlineStr">
        <is>
          <t>ADM-FIR-KHI-2024-1001</t>
        </is>
      </c>
      <c r="B6" s="7" t="inlineStr">
        <is>
          <t>Karachi Main</t>
        </is>
      </c>
      <c r="C6" s="7" t="inlineStr">
        <is>
          <t>Fire &amp; Property</t>
        </is>
      </c>
      <c r="D6" s="11" t="n">
        <v>4500000</v>
      </c>
      <c r="E6" s="11" t="n">
        <v>96000</v>
      </c>
      <c r="F6" s="11" t="n">
        <v>0</v>
      </c>
      <c r="G6" s="11" t="n">
        <v>96262</v>
      </c>
      <c r="H6" s="11" t="n">
        <v>9</v>
      </c>
      <c r="I6" s="11" t="n">
        <v>620000</v>
      </c>
      <c r="J6" s="7" t="inlineStr">
        <is>
          <t>No</t>
        </is>
      </c>
    </row>
    <row r="7">
      <c r="A7" s="15" t="inlineStr">
        <is>
          <t>ADM-TRV-LHR-2024-1002</t>
        </is>
      </c>
      <c r="B7" s="15" t="inlineStr">
        <is>
          <t>Lahore Gulberg</t>
        </is>
      </c>
      <c r="C7" s="15" t="inlineStr">
        <is>
          <t>Travel</t>
        </is>
      </c>
      <c r="D7" s="14" t="n">
        <v>12000000</v>
      </c>
      <c r="E7" s="14" t="n">
        <v>201000</v>
      </c>
      <c r="F7" s="14" t="n">
        <v>0</v>
      </c>
      <c r="G7" s="14" t="n">
        <v>111595</v>
      </c>
      <c r="H7" s="14" t="n">
        <v>10</v>
      </c>
      <c r="I7" s="14" t="n">
        <v>620000</v>
      </c>
      <c r="J7" s="15" t="inlineStr">
        <is>
          <t>Yes</t>
        </is>
      </c>
    </row>
    <row r="8">
      <c r="A8" s="7" t="inlineStr">
        <is>
          <t>ADM-MTR-ISB-2024-1003</t>
        </is>
      </c>
      <c r="B8" s="7" t="inlineStr">
        <is>
          <t>Islamabad Blue Area</t>
        </is>
      </c>
      <c r="C8" s="7" t="inlineStr">
        <is>
          <t>Motor</t>
        </is>
      </c>
      <c r="D8" s="11" t="n">
        <v>65000000</v>
      </c>
      <c r="E8" s="11" t="n">
        <v>1397000</v>
      </c>
      <c r="F8" s="11" t="n">
        <v>5</v>
      </c>
      <c r="G8" s="11" t="n">
        <v>1436098</v>
      </c>
      <c r="H8" s="11" t="n">
        <v>4</v>
      </c>
      <c r="I8" s="11" t="n">
        <v>620000</v>
      </c>
      <c r="J8" s="7" t="inlineStr">
        <is>
          <t>No</t>
        </is>
      </c>
    </row>
    <row r="9">
      <c r="A9" s="15" t="inlineStr">
        <is>
          <t>ADM-HLT-FSD-2024-1004</t>
        </is>
      </c>
      <c r="B9" s="15" t="inlineStr">
        <is>
          <t>Faisalabad</t>
        </is>
      </c>
      <c r="C9" s="15" t="inlineStr">
        <is>
          <t>Health</t>
        </is>
      </c>
      <c r="D9" s="14" t="n">
        <v>18500000</v>
      </c>
      <c r="E9" s="14" t="n">
        <v>305000</v>
      </c>
      <c r="F9" s="14" t="n">
        <v>1</v>
      </c>
      <c r="G9" s="14" t="n">
        <v>185930</v>
      </c>
      <c r="H9" s="14" t="n">
        <v>3</v>
      </c>
      <c r="I9" s="14" t="n">
        <v>0</v>
      </c>
      <c r="J9" s="15" t="inlineStr">
        <is>
          <t>Yes</t>
        </is>
      </c>
    </row>
    <row r="10">
      <c r="A10" s="7" t="inlineStr">
        <is>
          <t>ADM-MSC-MUL-2024-1005</t>
        </is>
      </c>
      <c r="B10" s="7" t="inlineStr">
        <is>
          <t>Multan</t>
        </is>
      </c>
      <c r="C10" s="7" t="inlineStr">
        <is>
          <t>Miscellaneous</t>
        </is>
      </c>
      <c r="D10" s="11" t="n">
        <v>4500000</v>
      </c>
      <c r="E10" s="11" t="n">
        <v>75000</v>
      </c>
      <c r="F10" s="11" t="n">
        <v>3</v>
      </c>
      <c r="G10" s="11" t="n">
        <v>44061</v>
      </c>
      <c r="H10" s="11" t="n">
        <v>3</v>
      </c>
      <c r="I10" s="11" t="n">
        <v>180000</v>
      </c>
      <c r="J10" s="7" t="inlineStr">
        <is>
          <t>Yes</t>
        </is>
      </c>
    </row>
    <row r="11">
      <c r="A11" s="15" t="inlineStr">
        <is>
          <t>ADM-MAR-PEW-2024-1006</t>
        </is>
      </c>
      <c r="B11" s="15" t="inlineStr">
        <is>
          <t>Peshawar</t>
        </is>
      </c>
      <c r="C11" s="15" t="inlineStr">
        <is>
          <t>Marine Cargo</t>
        </is>
      </c>
      <c r="D11" s="14" t="n">
        <v>25000000</v>
      </c>
      <c r="E11" s="14" t="n">
        <v>380000</v>
      </c>
      <c r="F11" s="14" t="n">
        <v>2</v>
      </c>
      <c r="G11" s="14" t="n">
        <v>91249</v>
      </c>
      <c r="H11" s="14" t="n">
        <v>12</v>
      </c>
      <c r="I11" s="14" t="n">
        <v>0</v>
      </c>
      <c r="J11" s="15" t="inlineStr">
        <is>
          <t>No</t>
        </is>
      </c>
    </row>
    <row r="12">
      <c r="A12" s="7" t="inlineStr">
        <is>
          <t>ADM-ENG-QTA-2024-1007</t>
        </is>
      </c>
      <c r="B12" s="7" t="inlineStr">
        <is>
          <t>Quetta</t>
        </is>
      </c>
      <c r="C12" s="7" t="inlineStr">
        <is>
          <t>Engineering</t>
        </is>
      </c>
      <c r="D12" s="11" t="n">
        <v>18500000</v>
      </c>
      <c r="E12" s="11" t="n">
        <v>227000</v>
      </c>
      <c r="F12" s="11" t="n">
        <v>5</v>
      </c>
      <c r="G12" s="11" t="n">
        <v>78775</v>
      </c>
      <c r="H12" s="11" t="n">
        <v>6</v>
      </c>
      <c r="I12" s="11" t="n">
        <v>45000</v>
      </c>
      <c r="J12" s="7" t="inlineStr">
        <is>
          <t>Yes</t>
        </is>
      </c>
    </row>
    <row r="13">
      <c r="A13" s="15" t="inlineStr">
        <is>
          <t>ADM-FIR-HYD-2024-1008</t>
        </is>
      </c>
      <c r="B13" s="15" t="inlineStr">
        <is>
          <t>Hyderabad</t>
        </is>
      </c>
      <c r="C13" s="15" t="inlineStr">
        <is>
          <t>Fire &amp; Property</t>
        </is>
      </c>
      <c r="D13" s="14" t="n">
        <v>25000000</v>
      </c>
      <c r="E13" s="14" t="n">
        <v>290000</v>
      </c>
      <c r="F13" s="14" t="n">
        <v>3</v>
      </c>
      <c r="G13" s="14" t="n">
        <v>249183</v>
      </c>
      <c r="H13" s="14" t="n">
        <v>4</v>
      </c>
      <c r="I13" s="14" t="n">
        <v>45000</v>
      </c>
      <c r="J13" s="15" t="inlineStr">
        <is>
          <t>Yes</t>
        </is>
      </c>
    </row>
    <row r="14">
      <c r="A14" s="7" t="inlineStr">
        <is>
          <t>ADM-TRV-SKT-2024-1009</t>
        </is>
      </c>
      <c r="B14" s="7" t="inlineStr">
        <is>
          <t>Sialkot</t>
        </is>
      </c>
      <c r="C14" s="7" t="inlineStr">
        <is>
          <t>Travel</t>
        </is>
      </c>
      <c r="D14" s="11" t="n">
        <v>7500000</v>
      </c>
      <c r="E14" s="11" t="n">
        <v>37000</v>
      </c>
      <c r="F14" s="11" t="n">
        <v>0</v>
      </c>
      <c r="G14" s="11" t="n">
        <v>48145</v>
      </c>
      <c r="H14" s="11" t="n">
        <v>9</v>
      </c>
      <c r="I14" s="11" t="n">
        <v>620000</v>
      </c>
      <c r="J14" s="7" t="inlineStr">
        <is>
          <t>Yes</t>
        </is>
      </c>
    </row>
    <row r="15">
      <c r="A15" s="15" t="inlineStr">
        <is>
          <t>ADM-MTR-RWP-2024-1010</t>
        </is>
      </c>
      <c r="B15" s="15" t="inlineStr">
        <is>
          <t>Rawalpindi</t>
        </is>
      </c>
      <c r="C15" s="15" t="inlineStr">
        <is>
          <t>Motor</t>
        </is>
      </c>
      <c r="D15" s="14" t="n">
        <v>65000000</v>
      </c>
      <c r="E15" s="14" t="n">
        <v>760000</v>
      </c>
      <c r="F15" s="14" t="n">
        <v>0</v>
      </c>
      <c r="G15" s="14" t="n">
        <v>162016</v>
      </c>
      <c r="H15" s="14" t="n">
        <v>7</v>
      </c>
      <c r="I15" s="14" t="n">
        <v>0</v>
      </c>
      <c r="J15" s="15" t="inlineStr">
        <is>
          <t>Yes</t>
        </is>
      </c>
    </row>
    <row r="16">
      <c r="A16" s="7" t="inlineStr">
        <is>
          <t>ADM-HLT-KHI-2024-1011</t>
        </is>
      </c>
      <c r="B16" s="7" t="inlineStr">
        <is>
          <t>Karachi Main</t>
        </is>
      </c>
      <c r="C16" s="7" t="inlineStr">
        <is>
          <t>Health</t>
        </is>
      </c>
      <c r="D16" s="11" t="n">
        <v>90000000</v>
      </c>
      <c r="E16" s="11" t="n">
        <v>603000</v>
      </c>
      <c r="F16" s="11" t="n">
        <v>5</v>
      </c>
      <c r="G16" s="11" t="n">
        <v>595704</v>
      </c>
      <c r="H16" s="11" t="n">
        <v>4</v>
      </c>
      <c r="I16" s="11" t="n">
        <v>0</v>
      </c>
      <c r="J16" s="7" t="inlineStr">
        <is>
          <t>Yes</t>
        </is>
      </c>
    </row>
    <row r="17">
      <c r="A17" s="15" t="inlineStr">
        <is>
          <t>ADM-MSC-LHR-2024-1012</t>
        </is>
      </c>
      <c r="B17" s="15" t="inlineStr">
        <is>
          <t>Lahore Gulberg</t>
        </is>
      </c>
      <c r="C17" s="15" t="inlineStr">
        <is>
          <t>Miscellaneous</t>
        </is>
      </c>
      <c r="D17" s="14" t="n">
        <v>40000000</v>
      </c>
      <c r="E17" s="14" t="n">
        <v>512000</v>
      </c>
      <c r="F17" s="14" t="n">
        <v>4</v>
      </c>
      <c r="G17" s="14" t="n">
        <v>394713</v>
      </c>
      <c r="H17" s="14" t="n">
        <v>3</v>
      </c>
      <c r="I17" s="14" t="n">
        <v>620000</v>
      </c>
      <c r="J17" s="15" t="inlineStr">
        <is>
          <t>Yes</t>
        </is>
      </c>
    </row>
    <row r="18">
      <c r="A18" s="7" t="inlineStr">
        <is>
          <t>ADM-MAR-ISB-2024-1013</t>
        </is>
      </c>
      <c r="B18" s="7" t="inlineStr">
        <is>
          <t>Islamabad Blue Area</t>
        </is>
      </c>
      <c r="C18" s="7" t="inlineStr">
        <is>
          <t>Marine Cargo</t>
        </is>
      </c>
      <c r="D18" s="11" t="n">
        <v>90000000</v>
      </c>
      <c r="E18" s="11" t="n">
        <v>2169000</v>
      </c>
      <c r="F18" s="11" t="n">
        <v>0</v>
      </c>
      <c r="G18" s="11" t="n">
        <v>2687419</v>
      </c>
      <c r="H18" s="11" t="n">
        <v>3</v>
      </c>
      <c r="I18" s="11" t="n">
        <v>0</v>
      </c>
      <c r="J18" s="7" t="inlineStr">
        <is>
          <t>Yes</t>
        </is>
      </c>
    </row>
    <row r="19">
      <c r="A19" s="15" t="inlineStr">
        <is>
          <t>ADM-ENG-FSD-2024-1014</t>
        </is>
      </c>
      <c r="B19" s="15" t="inlineStr">
        <is>
          <t>Faisalabad</t>
        </is>
      </c>
      <c r="C19" s="15" t="inlineStr">
        <is>
          <t>Engineering</t>
        </is>
      </c>
      <c r="D19" s="14" t="n">
        <v>90000000</v>
      </c>
      <c r="E19" s="14" t="n">
        <v>1089000</v>
      </c>
      <c r="F19" s="14" t="n">
        <v>2</v>
      </c>
      <c r="G19" s="14" t="n">
        <v>1020517</v>
      </c>
      <c r="H19" s="14" t="n">
        <v>1</v>
      </c>
      <c r="I19" s="14" t="n">
        <v>620000</v>
      </c>
      <c r="J19" s="15" t="inlineStr">
        <is>
          <t>Yes</t>
        </is>
      </c>
    </row>
    <row r="20">
      <c r="A20" s="7" t="inlineStr">
        <is>
          <t>ADM-FIR-MUL-2024-1015</t>
        </is>
      </c>
      <c r="B20" s="7" t="inlineStr">
        <is>
          <t>Multan</t>
        </is>
      </c>
      <c r="C20" s="7" t="inlineStr">
        <is>
          <t>Fire &amp; Property</t>
        </is>
      </c>
      <c r="D20" s="11" t="n">
        <v>18500000</v>
      </c>
      <c r="E20" s="11" t="n">
        <v>484000</v>
      </c>
      <c r="F20" s="11" t="n">
        <v>4</v>
      </c>
      <c r="G20" s="11" t="n">
        <v>575693</v>
      </c>
      <c r="H20" s="11" t="n">
        <v>4</v>
      </c>
      <c r="I20" s="11" t="n">
        <v>180000</v>
      </c>
      <c r="J20" s="7" t="inlineStr">
        <is>
          <t>No</t>
        </is>
      </c>
    </row>
    <row r="21">
      <c r="A21" s="15" t="inlineStr">
        <is>
          <t>ADM-TRV-PEW-2024-1016</t>
        </is>
      </c>
      <c r="B21" s="15" t="inlineStr">
        <is>
          <t>Peshawar</t>
        </is>
      </c>
      <c r="C21" s="15" t="inlineStr">
        <is>
          <t>Travel</t>
        </is>
      </c>
      <c r="D21" s="14" t="n">
        <v>2800000</v>
      </c>
      <c r="E21" s="14" t="n">
        <v>74000</v>
      </c>
      <c r="F21" s="14" t="n">
        <v>4</v>
      </c>
      <c r="G21" s="14" t="n">
        <v>114737</v>
      </c>
      <c r="H21" s="14" t="n">
        <v>8</v>
      </c>
      <c r="I21" s="14" t="n">
        <v>0</v>
      </c>
      <c r="J21" s="15" t="inlineStr">
        <is>
          <t>Yes</t>
        </is>
      </c>
    </row>
    <row r="22">
      <c r="A22" s="7" t="inlineStr">
        <is>
          <t>ADM-MTR-QTA-2024-1017</t>
        </is>
      </c>
      <c r="B22" s="7" t="inlineStr">
        <is>
          <t>Quetta</t>
        </is>
      </c>
      <c r="C22" s="7" t="inlineStr">
        <is>
          <t>Motor</t>
        </is>
      </c>
      <c r="D22" s="11" t="n">
        <v>15000000</v>
      </c>
      <c r="E22" s="11" t="n">
        <v>835000</v>
      </c>
      <c r="F22" s="11" t="n">
        <v>1</v>
      </c>
      <c r="G22" s="11" t="n">
        <v>250500</v>
      </c>
      <c r="H22" s="11" t="n">
        <v>5</v>
      </c>
      <c r="I22" s="11" t="n">
        <v>0</v>
      </c>
      <c r="J22" s="7" t="inlineStr">
        <is>
          <t>Yes</t>
        </is>
      </c>
    </row>
    <row r="23">
      <c r="A23" s="15" t="inlineStr">
        <is>
          <t>ADM-HLT-HYD-2024-1018</t>
        </is>
      </c>
      <c r="B23" s="15" t="inlineStr">
        <is>
          <t>Hyderabad</t>
        </is>
      </c>
      <c r="C23" s="15" t="inlineStr">
        <is>
          <t>Health</t>
        </is>
      </c>
      <c r="D23" s="14" t="n">
        <v>7500000</v>
      </c>
      <c r="E23" s="14" t="n">
        <v>174000</v>
      </c>
      <c r="F23" s="14" t="n">
        <v>2</v>
      </c>
      <c r="G23" s="14" t="n">
        <v>259300</v>
      </c>
      <c r="H23" s="14" t="n">
        <v>7</v>
      </c>
      <c r="I23" s="14" t="n">
        <v>0</v>
      </c>
      <c r="J23" s="15" t="inlineStr">
        <is>
          <t>Yes</t>
        </is>
      </c>
    </row>
    <row r="24">
      <c r="A24" s="7" t="inlineStr">
        <is>
          <t>ADM-MSC-SKT-2024-1019</t>
        </is>
      </c>
      <c r="B24" s="7" t="inlineStr">
        <is>
          <t>Sialkot</t>
        </is>
      </c>
      <c r="C24" s="7" t="inlineStr">
        <is>
          <t>Miscellaneous</t>
        </is>
      </c>
      <c r="D24" s="11" t="n">
        <v>90000000</v>
      </c>
      <c r="E24" s="11" t="n">
        <v>927000</v>
      </c>
      <c r="F24" s="11" t="n">
        <v>0</v>
      </c>
      <c r="G24" s="11" t="n">
        <v>505938</v>
      </c>
      <c r="H24" s="11" t="n">
        <v>12</v>
      </c>
      <c r="I24" s="11" t="n">
        <v>180000</v>
      </c>
      <c r="J24" s="7" t="inlineStr">
        <is>
          <t>No</t>
        </is>
      </c>
    </row>
    <row r="25">
      <c r="A25" s="15" t="inlineStr">
        <is>
          <t>ADM-MAR-RWP-2024-1020</t>
        </is>
      </c>
      <c r="B25" s="15" t="inlineStr">
        <is>
          <t>Rawalpindi</t>
        </is>
      </c>
      <c r="C25" s="15" t="inlineStr">
        <is>
          <t>Marine Cargo</t>
        </is>
      </c>
      <c r="D25" s="14" t="n">
        <v>7500000</v>
      </c>
      <c r="E25" s="14" t="n">
        <v>181000</v>
      </c>
      <c r="F25" s="14" t="n">
        <v>3</v>
      </c>
      <c r="G25" s="14" t="n">
        <v>181691</v>
      </c>
      <c r="H25" s="14" t="n">
        <v>6</v>
      </c>
      <c r="I25" s="14" t="n">
        <v>0</v>
      </c>
      <c r="J25" s="15" t="inlineStr">
        <is>
          <t>Yes</t>
        </is>
      </c>
    </row>
    <row r="26">
      <c r="A26" s="7" t="inlineStr">
        <is>
          <t>ADM-ENG-KHI-2024-1021</t>
        </is>
      </c>
      <c r="B26" s="7" t="inlineStr">
        <is>
          <t>Karachi Main</t>
        </is>
      </c>
      <c r="C26" s="7" t="inlineStr">
        <is>
          <t>Engineering</t>
        </is>
      </c>
      <c r="D26" s="11" t="n">
        <v>4500000</v>
      </c>
      <c r="E26" s="11" t="n">
        <v>78000</v>
      </c>
      <c r="F26" s="11" t="n">
        <v>4</v>
      </c>
      <c r="G26" s="11" t="n">
        <v>32635</v>
      </c>
      <c r="H26" s="11" t="n">
        <v>4</v>
      </c>
      <c r="I26" s="11" t="n">
        <v>45000</v>
      </c>
      <c r="J26" s="7" t="inlineStr">
        <is>
          <t>Yes</t>
        </is>
      </c>
    </row>
    <row r="27">
      <c r="A27" s="15" t="inlineStr">
        <is>
          <t>ADM-FIR-LHR-2024-1022</t>
        </is>
      </c>
      <c r="B27" s="15" t="inlineStr">
        <is>
          <t>Lahore Gulberg</t>
        </is>
      </c>
      <c r="C27" s="15" t="inlineStr">
        <is>
          <t>Fire &amp; Property</t>
        </is>
      </c>
      <c r="D27" s="14" t="n">
        <v>40000000</v>
      </c>
      <c r="E27" s="14" t="n">
        <v>368000</v>
      </c>
      <c r="F27" s="14" t="n">
        <v>0</v>
      </c>
      <c r="G27" s="14" t="n">
        <v>117086</v>
      </c>
      <c r="H27" s="14" t="n">
        <v>5</v>
      </c>
      <c r="I27" s="14" t="n">
        <v>620000</v>
      </c>
      <c r="J27" s="15" t="inlineStr">
        <is>
          <t>No</t>
        </is>
      </c>
    </row>
    <row r="28">
      <c r="A28" s="7" t="inlineStr">
        <is>
          <t>ADM-TRV-ISB-2024-1023</t>
        </is>
      </c>
      <c r="B28" s="7" t="inlineStr">
        <is>
          <t>Islamabad Blue Area</t>
        </is>
      </c>
      <c r="C28" s="7" t="inlineStr">
        <is>
          <t>Travel</t>
        </is>
      </c>
      <c r="D28" s="11" t="n">
        <v>65000000</v>
      </c>
      <c r="E28" s="11" t="n">
        <v>1586000</v>
      </c>
      <c r="F28" s="11" t="n">
        <v>0</v>
      </c>
      <c r="G28" s="11" t="n">
        <v>625762</v>
      </c>
      <c r="H28" s="11" t="n">
        <v>3</v>
      </c>
      <c r="I28" s="11" t="n">
        <v>620000</v>
      </c>
      <c r="J28" s="7" t="inlineStr">
        <is>
          <t>No</t>
        </is>
      </c>
    </row>
    <row r="29">
      <c r="A29" s="15" t="inlineStr">
        <is>
          <t>ADM-MTR-FSD-2024-1024</t>
        </is>
      </c>
      <c r="B29" s="15" t="inlineStr">
        <is>
          <t>Faisalabad</t>
        </is>
      </c>
      <c r="C29" s="15" t="inlineStr">
        <is>
          <t>Motor</t>
        </is>
      </c>
      <c r="D29" s="14" t="n">
        <v>90000000</v>
      </c>
      <c r="E29" s="14" t="n">
        <v>2304000</v>
      </c>
      <c r="F29" s="14" t="n">
        <v>1</v>
      </c>
      <c r="G29" s="14" t="n">
        <v>2938527</v>
      </c>
      <c r="H29" s="14" t="n">
        <v>10</v>
      </c>
      <c r="I29" s="14" t="n">
        <v>0</v>
      </c>
      <c r="J29" s="15" t="inlineStr">
        <is>
          <t>No</t>
        </is>
      </c>
    </row>
    <row r="30">
      <c r="A30" s="7" t="inlineStr">
        <is>
          <t>ADM-HLT-MUL-2024-1025</t>
        </is>
      </c>
      <c r="B30" s="7" t="inlineStr">
        <is>
          <t>Multan</t>
        </is>
      </c>
      <c r="C30" s="7" t="inlineStr">
        <is>
          <t>Health</t>
        </is>
      </c>
      <c r="D30" s="11" t="n">
        <v>2800000</v>
      </c>
      <c r="E30" s="11" t="n">
        <v>19000</v>
      </c>
      <c r="F30" s="11" t="n">
        <v>1</v>
      </c>
      <c r="G30" s="11" t="n">
        <v>28171</v>
      </c>
      <c r="H30" s="11" t="n">
        <v>7</v>
      </c>
      <c r="I30" s="11" t="n">
        <v>0</v>
      </c>
      <c r="J30" s="7" t="inlineStr">
        <is>
          <t>Yes</t>
        </is>
      </c>
    </row>
    <row r="31">
      <c r="A31" s="15" t="inlineStr">
        <is>
          <t>ADM-MSC-PEW-2024-1026</t>
        </is>
      </c>
      <c r="B31" s="15" t="inlineStr">
        <is>
          <t>Peshawar</t>
        </is>
      </c>
      <c r="C31" s="15" t="inlineStr">
        <is>
          <t>Miscellaneous</t>
        </is>
      </c>
      <c r="D31" s="14" t="n">
        <v>7500000</v>
      </c>
      <c r="E31" s="14" t="n">
        <v>193000</v>
      </c>
      <c r="F31" s="14" t="n">
        <v>1</v>
      </c>
      <c r="G31" s="14" t="n">
        <v>17765</v>
      </c>
      <c r="H31" s="14" t="n">
        <v>3</v>
      </c>
      <c r="I31" s="14" t="n">
        <v>45000</v>
      </c>
      <c r="J31" s="15" t="inlineStr">
        <is>
          <t>No</t>
        </is>
      </c>
    </row>
    <row r="33">
      <c r="A33" s="9" t="inlineStr">
        <is>
          <t>Table B — Underwriting rules (editable thresholds)</t>
        </is>
      </c>
    </row>
    <row r="34" ht="30" customHeight="1">
      <c r="A34" s="10" t="inlineStr">
        <is>
          <t>Rule</t>
        </is>
      </c>
      <c r="B34" s="10" t="inlineStr">
        <is>
          <t>Threshold</t>
        </is>
      </c>
    </row>
    <row r="35">
      <c r="A35" s="7" t="inlineStr">
        <is>
          <t>Max Sum Insured for branch authority (PKR)</t>
        </is>
      </c>
      <c r="B35" s="11" t="n">
        <v>25000000</v>
      </c>
    </row>
    <row r="36">
      <c r="A36" s="15" t="inlineStr">
        <is>
          <t>Max claims count for auto-renewal</t>
        </is>
      </c>
      <c r="B36" s="14" t="n">
        <v>2</v>
      </c>
    </row>
    <row r="37">
      <c r="A37" s="7" t="inlineStr">
        <is>
          <t>Max loss ratio for auto-renewal</t>
        </is>
      </c>
      <c r="B37" s="11" t="n">
        <v>0.6</v>
      </c>
    </row>
    <row r="38">
      <c r="A38" s="15" t="inlineStr">
        <is>
          <t>Min years with Adamjee</t>
        </is>
      </c>
      <c r="B38" s="14" t="n">
        <v>2</v>
      </c>
    </row>
    <row r="39">
      <c r="A39" s="7" t="inlineStr">
        <is>
          <t>Max premium outstanding allowed (PKR)</t>
        </is>
      </c>
      <c r="B39" s="11" t="n">
        <v>0</v>
      </c>
    </row>
    <row r="41">
      <c r="A4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49.xml><?xml version="1.0" encoding="utf-8"?>
<worksheet xmlns="http://schemas.openxmlformats.org/spreadsheetml/2006/main">
  <sheetPr>
    <tabColor rgb="00C00000"/>
    <outlinePr summaryBelow="1" summaryRight="1"/>
    <pageSetUpPr/>
  </sheetPr>
  <dimension ref="A1:L47"/>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Renewal Authority Decision Report</t>
        </is>
      </c>
    </row>
    <row r="3">
      <c r="A3" s="21" t="inlineStr">
        <is>
          <t>Prepared for:</t>
        </is>
      </c>
      <c r="B3" s="22" t="inlineStr">
        <is>
          <t>Chief Underwriting Officer</t>
        </is>
      </c>
    </row>
    <row r="4">
      <c r="A4" s="21" t="inlineStr">
        <is>
          <t>Prepared by:</t>
        </is>
      </c>
      <c r="B4" s="23" t="n"/>
    </row>
    <row r="5">
      <c r="A5" s="21" t="inlineStr">
        <is>
          <t>Reporting date:</t>
        </is>
      </c>
      <c r="B5" s="22" t="inlineStr">
        <is>
          <t>As at reporting date shown on the dataset</t>
        </is>
      </c>
    </row>
    <row r="7" ht="44" customHeight="1">
      <c r="A7" s="24" t="inlineStr">
        <is>
          <t>Renewal authority is rule-based and written in the underwriting manual, but applied by judgement at the branch. An audit sample found eleven renewals granted outside branch authority, three of which later produced claims above the branch's retention.</t>
        </is>
      </c>
    </row>
    <row r="9">
      <c r="A9" s="25" t="inlineStr">
        <is>
          <t>Source data: '2.7 Data'  (click to open)</t>
        </is>
      </c>
    </row>
    <row r="11" ht="16" customHeight="1">
      <c r="A11" s="26" t="inlineStr">
        <is>
          <t>Navy headers below = data linked live from the dataset sheet.   Gold headers = blank — build your formula here.</t>
        </is>
      </c>
    </row>
    <row r="12" ht="30" customHeight="1">
      <c r="A12" s="10" t="inlineStr">
        <is>
          <t>Policy No</t>
        </is>
      </c>
      <c r="B12" s="10" t="inlineStr">
        <is>
          <t>Branch</t>
        </is>
      </c>
      <c r="C12" s="10" t="inlineStr">
        <is>
          <t>Sum Insured</t>
        </is>
      </c>
      <c r="D12" s="10" t="inlineStr">
        <is>
          <t>Claims Count</t>
        </is>
      </c>
      <c r="E12" s="27" t="inlineStr">
        <is>
          <t>Loss Ratio</t>
        </is>
      </c>
      <c r="F12" s="10" t="inlineStr">
        <is>
          <t>Years with Adamjee</t>
        </is>
      </c>
      <c r="G12" s="27" t="inlineStr">
        <is>
          <t>Decision (Auto-Renew / Refer / Decline)</t>
        </is>
      </c>
    </row>
    <row r="13">
      <c r="A13" s="7">
        <f>'2.7 Data'!A6</f>
        <v/>
      </c>
      <c r="B13" s="7">
        <f>'2.7 Data'!B6</f>
        <v/>
      </c>
      <c r="C13" s="11">
        <f>'2.7 Data'!D6</f>
        <v/>
      </c>
      <c r="D13" s="11">
        <f>'2.7 Data'!F6</f>
        <v/>
      </c>
      <c r="E13" s="28" t="n"/>
      <c r="F13" s="11">
        <f>'2.7 Data'!H6</f>
        <v/>
      </c>
      <c r="G13" s="28" t="n"/>
    </row>
    <row r="14">
      <c r="A14" s="15">
        <f>'2.7 Data'!A7</f>
        <v/>
      </c>
      <c r="B14" s="15">
        <f>'2.7 Data'!B7</f>
        <v/>
      </c>
      <c r="C14" s="14">
        <f>'2.7 Data'!D7</f>
        <v/>
      </c>
      <c r="D14" s="14">
        <f>'2.7 Data'!F7</f>
        <v/>
      </c>
      <c r="E14" s="28" t="n"/>
      <c r="F14" s="14">
        <f>'2.7 Data'!H7</f>
        <v/>
      </c>
      <c r="G14" s="28" t="n"/>
    </row>
    <row r="15">
      <c r="A15" s="7">
        <f>'2.7 Data'!A8</f>
        <v/>
      </c>
      <c r="B15" s="7">
        <f>'2.7 Data'!B8</f>
        <v/>
      </c>
      <c r="C15" s="11">
        <f>'2.7 Data'!D8</f>
        <v/>
      </c>
      <c r="D15" s="11">
        <f>'2.7 Data'!F8</f>
        <v/>
      </c>
      <c r="E15" s="28" t="n"/>
      <c r="F15" s="11">
        <f>'2.7 Data'!H8</f>
        <v/>
      </c>
      <c r="G15" s="28" t="n"/>
    </row>
    <row r="16">
      <c r="A16" s="15">
        <f>'2.7 Data'!A9</f>
        <v/>
      </c>
      <c r="B16" s="15">
        <f>'2.7 Data'!B9</f>
        <v/>
      </c>
      <c r="C16" s="14">
        <f>'2.7 Data'!D9</f>
        <v/>
      </c>
      <c r="D16" s="14">
        <f>'2.7 Data'!F9</f>
        <v/>
      </c>
      <c r="E16" s="28" t="n"/>
      <c r="F16" s="14">
        <f>'2.7 Data'!H9</f>
        <v/>
      </c>
      <c r="G16" s="28" t="n"/>
    </row>
    <row r="17">
      <c r="A17" s="7">
        <f>'2.7 Data'!A10</f>
        <v/>
      </c>
      <c r="B17" s="7">
        <f>'2.7 Data'!B10</f>
        <v/>
      </c>
      <c r="C17" s="11">
        <f>'2.7 Data'!D10</f>
        <v/>
      </c>
      <c r="D17" s="11">
        <f>'2.7 Data'!F10</f>
        <v/>
      </c>
      <c r="E17" s="28" t="n"/>
      <c r="F17" s="11">
        <f>'2.7 Data'!H10</f>
        <v/>
      </c>
      <c r="G17" s="28" t="n"/>
    </row>
    <row r="18">
      <c r="A18" s="15">
        <f>'2.7 Data'!A11</f>
        <v/>
      </c>
      <c r="B18" s="15">
        <f>'2.7 Data'!B11</f>
        <v/>
      </c>
      <c r="C18" s="14">
        <f>'2.7 Data'!D11</f>
        <v/>
      </c>
      <c r="D18" s="14">
        <f>'2.7 Data'!F11</f>
        <v/>
      </c>
      <c r="E18" s="28" t="n"/>
      <c r="F18" s="14">
        <f>'2.7 Data'!H11</f>
        <v/>
      </c>
      <c r="G18" s="28" t="n"/>
    </row>
    <row r="19">
      <c r="A19" s="7">
        <f>'2.7 Data'!A12</f>
        <v/>
      </c>
      <c r="B19" s="7">
        <f>'2.7 Data'!B12</f>
        <v/>
      </c>
      <c r="C19" s="11">
        <f>'2.7 Data'!D12</f>
        <v/>
      </c>
      <c r="D19" s="11">
        <f>'2.7 Data'!F12</f>
        <v/>
      </c>
      <c r="E19" s="28" t="n"/>
      <c r="F19" s="11">
        <f>'2.7 Data'!H12</f>
        <v/>
      </c>
      <c r="G19" s="28" t="n"/>
    </row>
    <row r="20">
      <c r="A20" s="15">
        <f>'2.7 Data'!A13</f>
        <v/>
      </c>
      <c r="B20" s="15">
        <f>'2.7 Data'!B13</f>
        <v/>
      </c>
      <c r="C20" s="14">
        <f>'2.7 Data'!D13</f>
        <v/>
      </c>
      <c r="D20" s="14">
        <f>'2.7 Data'!F13</f>
        <v/>
      </c>
      <c r="E20" s="28" t="n"/>
      <c r="F20" s="14">
        <f>'2.7 Data'!H13</f>
        <v/>
      </c>
      <c r="G20" s="28" t="n"/>
    </row>
    <row r="21">
      <c r="A21" s="7">
        <f>'2.7 Data'!A14</f>
        <v/>
      </c>
      <c r="B21" s="7">
        <f>'2.7 Data'!B14</f>
        <v/>
      </c>
      <c r="C21" s="11">
        <f>'2.7 Data'!D14</f>
        <v/>
      </c>
      <c r="D21" s="11">
        <f>'2.7 Data'!F14</f>
        <v/>
      </c>
      <c r="E21" s="28" t="n"/>
      <c r="F21" s="11">
        <f>'2.7 Data'!H14</f>
        <v/>
      </c>
      <c r="G21" s="28" t="n"/>
    </row>
    <row r="22">
      <c r="A22" s="15">
        <f>'2.7 Data'!A15</f>
        <v/>
      </c>
      <c r="B22" s="15">
        <f>'2.7 Data'!B15</f>
        <v/>
      </c>
      <c r="C22" s="14">
        <f>'2.7 Data'!D15</f>
        <v/>
      </c>
      <c r="D22" s="14">
        <f>'2.7 Data'!F15</f>
        <v/>
      </c>
      <c r="E22" s="28" t="n"/>
      <c r="F22" s="14">
        <f>'2.7 Data'!H15</f>
        <v/>
      </c>
      <c r="G22" s="28" t="n"/>
    </row>
    <row r="23">
      <c r="A23" s="7">
        <f>'2.7 Data'!A16</f>
        <v/>
      </c>
      <c r="B23" s="7">
        <f>'2.7 Data'!B16</f>
        <v/>
      </c>
      <c r="C23" s="11">
        <f>'2.7 Data'!D16</f>
        <v/>
      </c>
      <c r="D23" s="11">
        <f>'2.7 Data'!F16</f>
        <v/>
      </c>
      <c r="E23" s="28" t="n"/>
      <c r="F23" s="11">
        <f>'2.7 Data'!H16</f>
        <v/>
      </c>
      <c r="G23" s="28" t="n"/>
    </row>
    <row r="24">
      <c r="A24" s="15">
        <f>'2.7 Data'!A17</f>
        <v/>
      </c>
      <c r="B24" s="15">
        <f>'2.7 Data'!B17</f>
        <v/>
      </c>
      <c r="C24" s="14">
        <f>'2.7 Data'!D17</f>
        <v/>
      </c>
      <c r="D24" s="14">
        <f>'2.7 Data'!F17</f>
        <v/>
      </c>
      <c r="E24" s="28" t="n"/>
      <c r="F24" s="14">
        <f>'2.7 Data'!H17</f>
        <v/>
      </c>
      <c r="G24" s="28" t="n"/>
    </row>
    <row r="25">
      <c r="A25" s="7">
        <f>'2.7 Data'!A18</f>
        <v/>
      </c>
      <c r="B25" s="7">
        <f>'2.7 Data'!B18</f>
        <v/>
      </c>
      <c r="C25" s="11">
        <f>'2.7 Data'!D18</f>
        <v/>
      </c>
      <c r="D25" s="11">
        <f>'2.7 Data'!F18</f>
        <v/>
      </c>
      <c r="E25" s="28" t="n"/>
      <c r="F25" s="11">
        <f>'2.7 Data'!H18</f>
        <v/>
      </c>
      <c r="G25" s="28" t="n"/>
    </row>
    <row r="26">
      <c r="A26" s="15">
        <f>'2.7 Data'!A19</f>
        <v/>
      </c>
      <c r="B26" s="15">
        <f>'2.7 Data'!B19</f>
        <v/>
      </c>
      <c r="C26" s="14">
        <f>'2.7 Data'!D19</f>
        <v/>
      </c>
      <c r="D26" s="14">
        <f>'2.7 Data'!F19</f>
        <v/>
      </c>
      <c r="E26" s="28" t="n"/>
      <c r="F26" s="14">
        <f>'2.7 Data'!H19</f>
        <v/>
      </c>
      <c r="G26" s="28" t="n"/>
    </row>
    <row r="27">
      <c r="A27" s="7">
        <f>'2.7 Data'!A20</f>
        <v/>
      </c>
      <c r="B27" s="7">
        <f>'2.7 Data'!B20</f>
        <v/>
      </c>
      <c r="C27" s="11">
        <f>'2.7 Data'!D20</f>
        <v/>
      </c>
      <c r="D27" s="11">
        <f>'2.7 Data'!F20</f>
        <v/>
      </c>
      <c r="E27" s="28" t="n"/>
      <c r="F27" s="11">
        <f>'2.7 Data'!H20</f>
        <v/>
      </c>
      <c r="G27" s="28" t="n"/>
    </row>
    <row r="28">
      <c r="A28" s="15">
        <f>'2.7 Data'!A21</f>
        <v/>
      </c>
      <c r="B28" s="15">
        <f>'2.7 Data'!B21</f>
        <v/>
      </c>
      <c r="C28" s="14">
        <f>'2.7 Data'!D21</f>
        <v/>
      </c>
      <c r="D28" s="14">
        <f>'2.7 Data'!F21</f>
        <v/>
      </c>
      <c r="E28" s="28" t="n"/>
      <c r="F28" s="14">
        <f>'2.7 Data'!H21</f>
        <v/>
      </c>
      <c r="G28" s="28" t="n"/>
    </row>
    <row r="29">
      <c r="A29" s="7">
        <f>'2.7 Data'!A22</f>
        <v/>
      </c>
      <c r="B29" s="7">
        <f>'2.7 Data'!B22</f>
        <v/>
      </c>
      <c r="C29" s="11">
        <f>'2.7 Data'!D22</f>
        <v/>
      </c>
      <c r="D29" s="11">
        <f>'2.7 Data'!F22</f>
        <v/>
      </c>
      <c r="E29" s="28" t="n"/>
      <c r="F29" s="11">
        <f>'2.7 Data'!H22</f>
        <v/>
      </c>
      <c r="G29" s="28" t="n"/>
    </row>
    <row r="30">
      <c r="A30" s="15">
        <f>'2.7 Data'!A23</f>
        <v/>
      </c>
      <c r="B30" s="15">
        <f>'2.7 Data'!B23</f>
        <v/>
      </c>
      <c r="C30" s="14">
        <f>'2.7 Data'!D23</f>
        <v/>
      </c>
      <c r="D30" s="14">
        <f>'2.7 Data'!F23</f>
        <v/>
      </c>
      <c r="E30" s="28" t="n"/>
      <c r="F30" s="14">
        <f>'2.7 Data'!H23</f>
        <v/>
      </c>
      <c r="G30" s="28" t="n"/>
    </row>
    <row r="31">
      <c r="A31" s="7">
        <f>'2.7 Data'!A24</f>
        <v/>
      </c>
      <c r="B31" s="7">
        <f>'2.7 Data'!B24</f>
        <v/>
      </c>
      <c r="C31" s="11">
        <f>'2.7 Data'!D24</f>
        <v/>
      </c>
      <c r="D31" s="11">
        <f>'2.7 Data'!F24</f>
        <v/>
      </c>
      <c r="E31" s="28" t="n"/>
      <c r="F31" s="11">
        <f>'2.7 Data'!H24</f>
        <v/>
      </c>
      <c r="G31" s="28" t="n"/>
    </row>
    <row r="32">
      <c r="A32" s="15">
        <f>'2.7 Data'!A25</f>
        <v/>
      </c>
      <c r="B32" s="15">
        <f>'2.7 Data'!B25</f>
        <v/>
      </c>
      <c r="C32" s="14">
        <f>'2.7 Data'!D25</f>
        <v/>
      </c>
      <c r="D32" s="14">
        <f>'2.7 Data'!F25</f>
        <v/>
      </c>
      <c r="E32" s="28" t="n"/>
      <c r="F32" s="14">
        <f>'2.7 Data'!H25</f>
        <v/>
      </c>
      <c r="G32" s="28" t="n"/>
    </row>
    <row r="33">
      <c r="A33" s="7">
        <f>'2.7 Data'!A26</f>
        <v/>
      </c>
      <c r="B33" s="7">
        <f>'2.7 Data'!B26</f>
        <v/>
      </c>
      <c r="C33" s="11">
        <f>'2.7 Data'!D26</f>
        <v/>
      </c>
      <c r="D33" s="11">
        <f>'2.7 Data'!F26</f>
        <v/>
      </c>
      <c r="E33" s="28" t="n"/>
      <c r="F33" s="11">
        <f>'2.7 Data'!H26</f>
        <v/>
      </c>
      <c r="G33" s="28" t="n"/>
    </row>
    <row r="34">
      <c r="A34" s="15">
        <f>'2.7 Data'!A27</f>
        <v/>
      </c>
      <c r="B34" s="15">
        <f>'2.7 Data'!B27</f>
        <v/>
      </c>
      <c r="C34" s="14">
        <f>'2.7 Data'!D27</f>
        <v/>
      </c>
      <c r="D34" s="14">
        <f>'2.7 Data'!F27</f>
        <v/>
      </c>
      <c r="E34" s="28" t="n"/>
      <c r="F34" s="14">
        <f>'2.7 Data'!H27</f>
        <v/>
      </c>
      <c r="G34" s="28" t="n"/>
    </row>
    <row r="35">
      <c r="A35" s="7">
        <f>'2.7 Data'!A28</f>
        <v/>
      </c>
      <c r="B35" s="7">
        <f>'2.7 Data'!B28</f>
        <v/>
      </c>
      <c r="C35" s="11">
        <f>'2.7 Data'!D28</f>
        <v/>
      </c>
      <c r="D35" s="11">
        <f>'2.7 Data'!F28</f>
        <v/>
      </c>
      <c r="E35" s="28" t="n"/>
      <c r="F35" s="11">
        <f>'2.7 Data'!H28</f>
        <v/>
      </c>
      <c r="G35" s="28" t="n"/>
    </row>
    <row r="36">
      <c r="A36" s="15">
        <f>'2.7 Data'!A29</f>
        <v/>
      </c>
      <c r="B36" s="15">
        <f>'2.7 Data'!B29</f>
        <v/>
      </c>
      <c r="C36" s="14">
        <f>'2.7 Data'!D29</f>
        <v/>
      </c>
      <c r="D36" s="14">
        <f>'2.7 Data'!F29</f>
        <v/>
      </c>
      <c r="E36" s="28" t="n"/>
      <c r="F36" s="14">
        <f>'2.7 Data'!H29</f>
        <v/>
      </c>
      <c r="G36" s="28" t="n"/>
    </row>
    <row r="37">
      <c r="A37" s="7">
        <f>'2.7 Data'!A30</f>
        <v/>
      </c>
      <c r="B37" s="7">
        <f>'2.7 Data'!B30</f>
        <v/>
      </c>
      <c r="C37" s="11">
        <f>'2.7 Data'!D30</f>
        <v/>
      </c>
      <c r="D37" s="11">
        <f>'2.7 Data'!F30</f>
        <v/>
      </c>
      <c r="E37" s="28" t="n"/>
      <c r="F37" s="11">
        <f>'2.7 Data'!H30</f>
        <v/>
      </c>
      <c r="G37" s="28" t="n"/>
    </row>
    <row r="38">
      <c r="A38" s="15">
        <f>'2.7 Data'!A31</f>
        <v/>
      </c>
      <c r="B38" s="15">
        <f>'2.7 Data'!B31</f>
        <v/>
      </c>
      <c r="C38" s="14">
        <f>'2.7 Data'!D31</f>
        <v/>
      </c>
      <c r="D38" s="14">
        <f>'2.7 Data'!F31</f>
        <v/>
      </c>
      <c r="E38" s="28" t="n"/>
      <c r="F38" s="14">
        <f>'2.7 Data'!H31</f>
        <v/>
      </c>
      <c r="G38" s="28" t="n"/>
    </row>
    <row r="39">
      <c r="A39" s="29" t="inlineStr">
        <is>
          <t>TOTAL / RESULT</t>
        </is>
      </c>
      <c r="B39" s="30" t="n"/>
      <c r="C39" s="30" t="n"/>
      <c r="D39" s="30" t="n"/>
      <c r="E39" s="31" t="n"/>
      <c r="F39" s="30" t="n"/>
      <c r="G39" s="31" t="n"/>
    </row>
    <row r="41" ht="32" customHeight="1">
      <c r="A41"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43" ht="19" customHeight="1">
      <c r="A43" s="33" t="inlineStr">
        <is>
          <t>FURTHER REQUESTS ON THIS DATASET</t>
        </is>
      </c>
    </row>
    <row r="44" ht="20" customHeight="1">
      <c r="A44" s="34" t="inlineStr">
        <is>
          <t>#</t>
        </is>
      </c>
      <c r="B44" s="34" t="inlineStr">
        <is>
          <t>Request</t>
        </is>
      </c>
      <c r="C44" s="34" t="inlineStr">
        <is>
          <t>Requested by</t>
        </is>
      </c>
      <c r="D44" s="34" t="inlineStr">
        <is>
          <t>Report / figure required</t>
        </is>
      </c>
      <c r="E44" s="34" t="inlineStr">
        <is>
          <t>Your formula or answer</t>
        </is>
      </c>
    </row>
    <row r="45" ht="78" customHeight="1">
      <c r="A45" s="35" t="n">
        <v>1</v>
      </c>
      <c r="B45" s="36" t="inlineStr">
        <is>
          <t>Head Office Referral Schedule</t>
        </is>
      </c>
      <c r="C45" s="37" t="inlineStr">
        <is>
          <t>Manager, Head Office Underwriting</t>
        </is>
      </c>
      <c r="D45" s="38" t="inlineStr">
        <is>
          <t>A referral schedule listing only the referred policies, with a Reason column naming which rule triggered the referral (premium outstanding / no survey report / loss ratio above 100%), and a count by reason.</t>
        </is>
      </c>
      <c r="E45" s="39" t="n"/>
    </row>
    <row r="46" ht="65" customHeight="1">
      <c r="A46" s="35" t="n">
        <v>2</v>
      </c>
      <c r="B46" s="36" t="inlineStr">
        <is>
          <t>Motor South survey rule</t>
        </is>
      </c>
      <c r="C46" s="37" t="inlineStr">
        <is>
          <t>Chief Underwriting Officer</t>
        </is>
      </c>
      <c r="D46" s="38" t="inlineStr">
        <is>
          <t>The decision report with the new rule applied, plus a comparison column showing which policies changed decision as a result and the premium those policies represent.</t>
        </is>
      </c>
      <c r="E46" s="39" t="n"/>
    </row>
    <row r="47" ht="52" customHeight="1">
      <c r="A47" s="35" t="n">
        <v>3</v>
      </c>
      <c r="B47" s="36" t="inlineStr">
        <is>
          <t>Threshold sensitivity for the Underwriting Committee</t>
        </is>
      </c>
      <c r="C47" s="37" t="inlineStr">
        <is>
          <t>Chief Underwriting Officer</t>
        </is>
      </c>
      <c r="D47" s="38" t="inlineStr">
        <is>
          <t>A sensitivity summary: policies in each decision category at 60%, at 50%, and the movement between them, produced by changing one cell only.</t>
        </is>
      </c>
      <c r="E47" s="39" t="n"/>
    </row>
  </sheetData>
  <mergeCells count="6">
    <mergeCell ref="A2:L2"/>
    <mergeCell ref="A7:K7"/>
    <mergeCell ref="A1:L1"/>
    <mergeCell ref="A41:G41"/>
    <mergeCell ref="A11:G11"/>
    <mergeCell ref="A43:F43"/>
  </mergeCells>
  <hyperlinks>
    <hyperlink xmlns:r="http://schemas.openxmlformats.org/officeDocument/2006/relationships" ref="A9" r:id="rId1"/>
  </hyperlinks>
  <pageMargins left="0.75" right="0.75" top="1" bottom="1" header="0.5" footer="0.5"/>
</worksheet>
</file>

<file path=xl/worksheets/sheet50.xml><?xml version="1.0" encoding="utf-8"?>
<worksheet xmlns="http://schemas.openxmlformats.org/spreadsheetml/2006/main">
  <sheetPr>
    <tabColor rgb="001F3864"/>
    <outlinePr summaryBelow="1" summaryRight="1"/>
    <pageSetUpPr/>
  </sheetPr>
  <dimension ref="A1:I44"/>
  <sheetViews>
    <sheetView showGridLines="0" workbookViewId="0">
      <pane ySplit="5" topLeftCell="A6" activePane="bottomLeft" state="frozen"/>
      <selection pane="bottomLeft" activeCell="A1" sqref="A1"/>
    </sheetView>
  </sheetViews>
  <sheetFormatPr baseColWidth="8" defaultRowHeight="15"/>
  <cols>
    <col width="46" customWidth="1" min="1" max="1"/>
    <col width="12" customWidth="1" min="2" max="2"/>
    <col width="18" customWidth="1" min="3" max="3"/>
    <col width="16" customWidth="1" min="4" max="4"/>
    <col width="12" customWidth="1" min="5" max="5"/>
    <col width="16" customWidth="1" min="6" max="6"/>
    <col width="20" customWidth="1" min="7" max="7"/>
    <col width="20" customWidth="1" min="8" max="8"/>
    <col width="20" customWidth="1" min="9" max="9"/>
  </cols>
  <sheetData>
    <row r="1" ht="26" customHeight="1">
      <c r="A1" s="1" t="inlineStr">
        <is>
          <t>Dataset 2.8  —  CHOOSE Function</t>
        </is>
      </c>
    </row>
    <row r="2" ht="16" customHeight="1">
      <c r="A2" s="2" t="inlineStr">
        <is>
          <t>Session 2: Array Formulas, Advanced Logic &amp; Named Ranges | Part B: Advanced Logical and Math Functions   |   Adamjee Assurance Company Limited (Pakistan) — training data, figures in PKR</t>
        </is>
      </c>
    </row>
    <row r="4">
      <c r="A4" s="9" t="inlineStr">
        <is>
          <t>Table A — Policy transactions</t>
        </is>
      </c>
    </row>
    <row r="5" ht="30" customHeight="1">
      <c r="A5" s="10" t="inlineStr">
        <is>
          <t>Policy No</t>
        </is>
      </c>
      <c r="B5" s="10" t="inlineStr">
        <is>
          <t>Branch</t>
        </is>
      </c>
      <c r="C5" s="10" t="inlineStr">
        <is>
          <t>Product</t>
        </is>
      </c>
      <c r="D5" s="10" t="inlineStr">
        <is>
          <t>Transaction Date</t>
        </is>
      </c>
      <c r="E5" s="10" t="inlineStr">
        <is>
          <t>Month No</t>
        </is>
      </c>
      <c r="F5" s="10" t="inlineStr">
        <is>
          <t>Product Group No</t>
        </is>
      </c>
      <c r="G5" s="10" t="inlineStr">
        <is>
          <t>Gross Premium (PKR)</t>
        </is>
      </c>
      <c r="H5" s="10" t="inlineStr">
        <is>
          <t>Claims Paid (PKR)</t>
        </is>
      </c>
      <c r="I5" s="10" t="inlineStr">
        <is>
          <t>Commission (PKR)</t>
        </is>
      </c>
    </row>
    <row r="6">
      <c r="A6" s="7" t="inlineStr">
        <is>
          <t>ADM-FIR-KHI-2024-1001</t>
        </is>
      </c>
      <c r="B6" s="7" t="inlineStr">
        <is>
          <t>Karachi Main</t>
        </is>
      </c>
      <c r="C6" s="7" t="inlineStr">
        <is>
          <t>Fire &amp; Property</t>
        </is>
      </c>
      <c r="D6" s="40" t="n">
        <v>45294</v>
      </c>
      <c r="E6" s="11" t="n">
        <v>1</v>
      </c>
      <c r="F6" s="11" t="n">
        <v>1</v>
      </c>
      <c r="G6" s="11" t="n">
        <v>96000</v>
      </c>
      <c r="H6" s="11" t="n">
        <v>96262</v>
      </c>
      <c r="I6" s="11" t="n">
        <v>14400</v>
      </c>
    </row>
    <row r="7">
      <c r="A7" s="15" t="inlineStr">
        <is>
          <t>ADM-TRV-LHR-2024-1002</t>
        </is>
      </c>
      <c r="B7" s="15" t="inlineStr">
        <is>
          <t>Lahore Gulberg</t>
        </is>
      </c>
      <c r="C7" s="15" t="inlineStr">
        <is>
          <t>Travel</t>
        </is>
      </c>
      <c r="D7" s="41" t="n">
        <v>45326</v>
      </c>
      <c r="E7" s="14" t="n">
        <v>2</v>
      </c>
      <c r="F7" s="14" t="n">
        <v>2</v>
      </c>
      <c r="G7" s="14" t="n">
        <v>201000</v>
      </c>
      <c r="H7" s="14" t="n">
        <v>111595</v>
      </c>
      <c r="I7" s="14" t="n">
        <v>35175</v>
      </c>
    </row>
    <row r="8">
      <c r="A8" s="7" t="inlineStr">
        <is>
          <t>ADM-MTR-ISB-2024-1003</t>
        </is>
      </c>
      <c r="B8" s="7" t="inlineStr">
        <is>
          <t>Islamabad Blue Area</t>
        </is>
      </c>
      <c r="C8" s="7" t="inlineStr">
        <is>
          <t>Motor</t>
        </is>
      </c>
      <c r="D8" s="40" t="n">
        <v>45356</v>
      </c>
      <c r="E8" s="11" t="n">
        <v>3</v>
      </c>
      <c r="F8" s="11" t="n">
        <v>3</v>
      </c>
      <c r="G8" s="11" t="n">
        <v>1397000</v>
      </c>
      <c r="H8" s="11" t="n">
        <v>1436098</v>
      </c>
      <c r="I8" s="11" t="n">
        <v>174625</v>
      </c>
    </row>
    <row r="9">
      <c r="A9" s="15" t="inlineStr">
        <is>
          <t>ADM-HLT-FSD-2024-1004</t>
        </is>
      </c>
      <c r="B9" s="15" t="inlineStr">
        <is>
          <t>Faisalabad</t>
        </is>
      </c>
      <c r="C9" s="15" t="inlineStr">
        <is>
          <t>Health</t>
        </is>
      </c>
      <c r="D9" s="41" t="n">
        <v>45388</v>
      </c>
      <c r="E9" s="14" t="n">
        <v>4</v>
      </c>
      <c r="F9" s="14" t="n">
        <v>4</v>
      </c>
      <c r="G9" s="14" t="n">
        <v>305000</v>
      </c>
      <c r="H9" s="14" t="n">
        <v>185930</v>
      </c>
      <c r="I9" s="14" t="n">
        <v>38125</v>
      </c>
    </row>
    <row r="10">
      <c r="A10" s="7" t="inlineStr">
        <is>
          <t>ADM-MSC-MUL-2024-1005</t>
        </is>
      </c>
      <c r="B10" s="7" t="inlineStr">
        <is>
          <t>Multan</t>
        </is>
      </c>
      <c r="C10" s="7" t="inlineStr">
        <is>
          <t>Miscellaneous</t>
        </is>
      </c>
      <c r="D10" s="40" t="n">
        <v>45419</v>
      </c>
      <c r="E10" s="11" t="n">
        <v>5</v>
      </c>
      <c r="F10" s="11" t="n">
        <v>5</v>
      </c>
      <c r="G10" s="11" t="n">
        <v>75000</v>
      </c>
      <c r="H10" s="11" t="n">
        <v>44061</v>
      </c>
      <c r="I10" s="11" t="n">
        <v>13125</v>
      </c>
    </row>
    <row r="11">
      <c r="A11" s="15" t="inlineStr">
        <is>
          <t>ADM-MAR-PEW-2024-1006</t>
        </is>
      </c>
      <c r="B11" s="15" t="inlineStr">
        <is>
          <t>Peshawar</t>
        </is>
      </c>
      <c r="C11" s="15" t="inlineStr">
        <is>
          <t>Marine Cargo</t>
        </is>
      </c>
      <c r="D11" s="41" t="n">
        <v>45451</v>
      </c>
      <c r="E11" s="14" t="n">
        <v>6</v>
      </c>
      <c r="F11" s="14" t="n">
        <v>1</v>
      </c>
      <c r="G11" s="14" t="n">
        <v>380000</v>
      </c>
      <c r="H11" s="14" t="n">
        <v>91249</v>
      </c>
      <c r="I11" s="14" t="n">
        <v>47500</v>
      </c>
    </row>
    <row r="12">
      <c r="A12" s="7" t="inlineStr">
        <is>
          <t>ADM-ENG-QTA-2024-1007</t>
        </is>
      </c>
      <c r="B12" s="7" t="inlineStr">
        <is>
          <t>Quetta</t>
        </is>
      </c>
      <c r="C12" s="7" t="inlineStr">
        <is>
          <t>Engineering</t>
        </is>
      </c>
      <c r="D12" s="40" t="n">
        <v>45482</v>
      </c>
      <c r="E12" s="11" t="n">
        <v>7</v>
      </c>
      <c r="F12" s="11" t="n">
        <v>2</v>
      </c>
      <c r="G12" s="11" t="n">
        <v>227000</v>
      </c>
      <c r="H12" s="11" t="n">
        <v>78775</v>
      </c>
      <c r="I12" s="11" t="n">
        <v>28375</v>
      </c>
    </row>
    <row r="13">
      <c r="A13" s="15" t="inlineStr">
        <is>
          <t>ADM-FIR-HYD-2024-1008</t>
        </is>
      </c>
      <c r="B13" s="15" t="inlineStr">
        <is>
          <t>Hyderabad</t>
        </is>
      </c>
      <c r="C13" s="15" t="inlineStr">
        <is>
          <t>Fire &amp; Property</t>
        </is>
      </c>
      <c r="D13" s="41" t="n">
        <v>45514</v>
      </c>
      <c r="E13" s="14" t="n">
        <v>8</v>
      </c>
      <c r="F13" s="14" t="n">
        <v>3</v>
      </c>
      <c r="G13" s="14" t="n">
        <v>290000</v>
      </c>
      <c r="H13" s="14" t="n">
        <v>249183</v>
      </c>
      <c r="I13" s="14" t="n">
        <v>36250</v>
      </c>
    </row>
    <row r="14">
      <c r="A14" s="7" t="inlineStr">
        <is>
          <t>ADM-TRV-SKT-2024-1009</t>
        </is>
      </c>
      <c r="B14" s="7" t="inlineStr">
        <is>
          <t>Sialkot</t>
        </is>
      </c>
      <c r="C14" s="7" t="inlineStr">
        <is>
          <t>Travel</t>
        </is>
      </c>
      <c r="D14" s="40" t="n">
        <v>45546</v>
      </c>
      <c r="E14" s="11" t="n">
        <v>9</v>
      </c>
      <c r="F14" s="11" t="n">
        <v>4</v>
      </c>
      <c r="G14" s="11" t="n">
        <v>37000</v>
      </c>
      <c r="H14" s="11" t="n">
        <v>48145</v>
      </c>
      <c r="I14" s="11" t="n">
        <v>4625</v>
      </c>
    </row>
    <row r="15">
      <c r="A15" s="15" t="inlineStr">
        <is>
          <t>ADM-MTR-RWP-2024-1010</t>
        </is>
      </c>
      <c r="B15" s="15" t="inlineStr">
        <is>
          <t>Rawalpindi</t>
        </is>
      </c>
      <c r="C15" s="15" t="inlineStr">
        <is>
          <t>Motor</t>
        </is>
      </c>
      <c r="D15" s="41" t="n">
        <v>45577</v>
      </c>
      <c r="E15" s="14" t="n">
        <v>10</v>
      </c>
      <c r="F15" s="14" t="n">
        <v>5</v>
      </c>
      <c r="G15" s="14" t="n">
        <v>760000</v>
      </c>
      <c r="H15" s="14" t="n">
        <v>162016</v>
      </c>
      <c r="I15" s="14" t="n">
        <v>152000</v>
      </c>
    </row>
    <row r="16">
      <c r="A16" s="7" t="inlineStr">
        <is>
          <t>ADM-HLT-KHI-2024-1011</t>
        </is>
      </c>
      <c r="B16" s="7" t="inlineStr">
        <is>
          <t>Karachi Main</t>
        </is>
      </c>
      <c r="C16" s="7" t="inlineStr">
        <is>
          <t>Health</t>
        </is>
      </c>
      <c r="D16" s="40" t="n">
        <v>45609</v>
      </c>
      <c r="E16" s="11" t="n">
        <v>11</v>
      </c>
      <c r="F16" s="11" t="n">
        <v>1</v>
      </c>
      <c r="G16" s="11" t="n">
        <v>603000</v>
      </c>
      <c r="H16" s="11" t="n">
        <v>595704</v>
      </c>
      <c r="I16" s="11" t="n">
        <v>120600</v>
      </c>
    </row>
    <row r="17">
      <c r="A17" s="15" t="inlineStr">
        <is>
          <t>ADM-MSC-LHR-2024-1012</t>
        </is>
      </c>
      <c r="B17" s="15" t="inlineStr">
        <is>
          <t>Lahore Gulberg</t>
        </is>
      </c>
      <c r="C17" s="15" t="inlineStr">
        <is>
          <t>Miscellaneous</t>
        </is>
      </c>
      <c r="D17" s="41" t="n">
        <v>45640</v>
      </c>
      <c r="E17" s="14" t="n">
        <v>12</v>
      </c>
      <c r="F17" s="14" t="n">
        <v>2</v>
      </c>
      <c r="G17" s="14" t="n">
        <v>512000</v>
      </c>
      <c r="H17" s="14" t="n">
        <v>394713</v>
      </c>
      <c r="I17" s="14" t="n">
        <v>64000</v>
      </c>
    </row>
    <row r="18">
      <c r="A18" s="7" t="inlineStr">
        <is>
          <t>ADM-MAR-ISB-2024-1013</t>
        </is>
      </c>
      <c r="B18" s="7" t="inlineStr">
        <is>
          <t>Islamabad Blue Area</t>
        </is>
      </c>
      <c r="C18" s="7" t="inlineStr">
        <is>
          <t>Marine Cargo</t>
        </is>
      </c>
      <c r="D18" s="40" t="n">
        <v>45306</v>
      </c>
      <c r="E18" s="11" t="n">
        <v>1</v>
      </c>
      <c r="F18" s="11" t="n">
        <v>3</v>
      </c>
      <c r="G18" s="11" t="n">
        <v>2169000</v>
      </c>
      <c r="H18" s="11" t="n">
        <v>2687419</v>
      </c>
      <c r="I18" s="11" t="n">
        <v>271125</v>
      </c>
    </row>
    <row r="19">
      <c r="A19" s="15" t="inlineStr">
        <is>
          <t>ADM-ENG-FSD-2024-1014</t>
        </is>
      </c>
      <c r="B19" s="15" t="inlineStr">
        <is>
          <t>Faisalabad</t>
        </is>
      </c>
      <c r="C19" s="15" t="inlineStr">
        <is>
          <t>Engineering</t>
        </is>
      </c>
      <c r="D19" s="41" t="n">
        <v>45338</v>
      </c>
      <c r="E19" s="14" t="n">
        <v>2</v>
      </c>
      <c r="F19" s="14" t="n">
        <v>4</v>
      </c>
      <c r="G19" s="14" t="n">
        <v>1089000</v>
      </c>
      <c r="H19" s="14" t="n">
        <v>1020517</v>
      </c>
      <c r="I19" s="14" t="n">
        <v>190575</v>
      </c>
    </row>
    <row r="20">
      <c r="A20" s="7" t="inlineStr">
        <is>
          <t>ADM-FIR-MUL-2024-1015</t>
        </is>
      </c>
      <c r="B20" s="7" t="inlineStr">
        <is>
          <t>Multan</t>
        </is>
      </c>
      <c r="C20" s="7" t="inlineStr">
        <is>
          <t>Fire &amp; Property</t>
        </is>
      </c>
      <c r="D20" s="40" t="n">
        <v>45368</v>
      </c>
      <c r="E20" s="11" t="n">
        <v>3</v>
      </c>
      <c r="F20" s="11" t="n">
        <v>5</v>
      </c>
      <c r="G20" s="11" t="n">
        <v>484000</v>
      </c>
      <c r="H20" s="11" t="n">
        <v>575693</v>
      </c>
      <c r="I20" s="11" t="n">
        <v>96800</v>
      </c>
    </row>
    <row r="21">
      <c r="A21" s="15" t="inlineStr">
        <is>
          <t>ADM-TRV-PEW-2024-1016</t>
        </is>
      </c>
      <c r="B21" s="15" t="inlineStr">
        <is>
          <t>Peshawar</t>
        </is>
      </c>
      <c r="C21" s="15" t="inlineStr">
        <is>
          <t>Travel</t>
        </is>
      </c>
      <c r="D21" s="41" t="n">
        <v>45400</v>
      </c>
      <c r="E21" s="14" t="n">
        <v>4</v>
      </c>
      <c r="F21" s="14" t="n">
        <v>1</v>
      </c>
      <c r="G21" s="14" t="n">
        <v>74000</v>
      </c>
      <c r="H21" s="14" t="n">
        <v>114737</v>
      </c>
      <c r="I21" s="14" t="n">
        <v>9250</v>
      </c>
    </row>
    <row r="22">
      <c r="A22" s="7" t="inlineStr">
        <is>
          <t>ADM-MTR-QTA-2024-1017</t>
        </is>
      </c>
      <c r="B22" s="7" t="inlineStr">
        <is>
          <t>Quetta</t>
        </is>
      </c>
      <c r="C22" s="7" t="inlineStr">
        <is>
          <t>Motor</t>
        </is>
      </c>
      <c r="D22" s="40" t="n">
        <v>45431</v>
      </c>
      <c r="E22" s="11" t="n">
        <v>5</v>
      </c>
      <c r="F22" s="11" t="n">
        <v>2</v>
      </c>
      <c r="G22" s="11" t="n">
        <v>835000</v>
      </c>
      <c r="H22" s="11" t="n">
        <v>672109</v>
      </c>
      <c r="I22" s="11" t="n">
        <v>125250</v>
      </c>
    </row>
    <row r="23">
      <c r="A23" s="15" t="inlineStr">
        <is>
          <t>ADM-HLT-HYD-2024-1018</t>
        </is>
      </c>
      <c r="B23" s="15" t="inlineStr">
        <is>
          <t>Hyderabad</t>
        </is>
      </c>
      <c r="C23" s="15" t="inlineStr">
        <is>
          <t>Health</t>
        </is>
      </c>
      <c r="D23" s="41" t="n">
        <v>45463</v>
      </c>
      <c r="E23" s="14" t="n">
        <v>6</v>
      </c>
      <c r="F23" s="14" t="n">
        <v>3</v>
      </c>
      <c r="G23" s="14" t="n">
        <v>174000</v>
      </c>
      <c r="H23" s="14" t="n">
        <v>259300</v>
      </c>
      <c r="I23" s="14" t="n">
        <v>21750</v>
      </c>
    </row>
    <row r="24">
      <c r="A24" s="7" t="inlineStr">
        <is>
          <t>ADM-MSC-SKT-2024-1019</t>
        </is>
      </c>
      <c r="B24" s="7" t="inlineStr">
        <is>
          <t>Sialkot</t>
        </is>
      </c>
      <c r="C24" s="7" t="inlineStr">
        <is>
          <t>Miscellaneous</t>
        </is>
      </c>
      <c r="D24" s="40" t="n">
        <v>45494</v>
      </c>
      <c r="E24" s="11" t="n">
        <v>7</v>
      </c>
      <c r="F24" s="11" t="n">
        <v>4</v>
      </c>
      <c r="G24" s="11" t="n">
        <v>927000</v>
      </c>
      <c r="H24" s="11" t="n">
        <v>505938</v>
      </c>
      <c r="I24" s="11" t="n">
        <v>185400</v>
      </c>
    </row>
    <row r="25">
      <c r="A25" s="15" t="inlineStr">
        <is>
          <t>ADM-MAR-RWP-2024-1020</t>
        </is>
      </c>
      <c r="B25" s="15" t="inlineStr">
        <is>
          <t>Rawalpindi</t>
        </is>
      </c>
      <c r="C25" s="15" t="inlineStr">
        <is>
          <t>Marine Cargo</t>
        </is>
      </c>
      <c r="D25" s="41" t="n">
        <v>45526</v>
      </c>
      <c r="E25" s="14" t="n">
        <v>8</v>
      </c>
      <c r="F25" s="14" t="n">
        <v>5</v>
      </c>
      <c r="G25" s="14" t="n">
        <v>181000</v>
      </c>
      <c r="H25" s="14" t="n">
        <v>181691</v>
      </c>
      <c r="I25" s="14" t="n">
        <v>27150</v>
      </c>
    </row>
    <row r="26">
      <c r="A26" s="7" t="inlineStr">
        <is>
          <t>ADM-ENG-KHI-2024-1021</t>
        </is>
      </c>
      <c r="B26" s="7" t="inlineStr">
        <is>
          <t>Karachi Main</t>
        </is>
      </c>
      <c r="C26" s="7" t="inlineStr">
        <is>
          <t>Engineering</t>
        </is>
      </c>
      <c r="D26" s="40" t="n">
        <v>45558</v>
      </c>
      <c r="E26" s="11" t="n">
        <v>9</v>
      </c>
      <c r="F26" s="11" t="n">
        <v>1</v>
      </c>
      <c r="G26" s="11" t="n">
        <v>78000</v>
      </c>
      <c r="H26" s="11" t="n">
        <v>32635</v>
      </c>
      <c r="I26" s="11" t="n">
        <v>11700</v>
      </c>
    </row>
    <row r="27">
      <c r="A27" s="15" t="inlineStr">
        <is>
          <t>ADM-FIR-LHR-2024-1022</t>
        </is>
      </c>
      <c r="B27" s="15" t="inlineStr">
        <is>
          <t>Lahore Gulberg</t>
        </is>
      </c>
      <c r="C27" s="15" t="inlineStr">
        <is>
          <t>Fire &amp; Property</t>
        </is>
      </c>
      <c r="D27" s="41" t="n">
        <v>45589</v>
      </c>
      <c r="E27" s="14" t="n">
        <v>10</v>
      </c>
      <c r="F27" s="14" t="n">
        <v>2</v>
      </c>
      <c r="G27" s="14" t="n">
        <v>368000</v>
      </c>
      <c r="H27" s="14" t="n">
        <v>117086</v>
      </c>
      <c r="I27" s="14" t="n">
        <v>46000</v>
      </c>
    </row>
    <row r="28">
      <c r="A28" s="7" t="inlineStr">
        <is>
          <t>ADM-TRV-ISB-2024-1023</t>
        </is>
      </c>
      <c r="B28" s="7" t="inlineStr">
        <is>
          <t>Islamabad Blue Area</t>
        </is>
      </c>
      <c r="C28" s="7" t="inlineStr">
        <is>
          <t>Travel</t>
        </is>
      </c>
      <c r="D28" s="40" t="n">
        <v>45621</v>
      </c>
      <c r="E28" s="11" t="n">
        <v>11</v>
      </c>
      <c r="F28" s="11" t="n">
        <v>3</v>
      </c>
      <c r="G28" s="11" t="n">
        <v>1586000</v>
      </c>
      <c r="H28" s="11" t="n">
        <v>625762</v>
      </c>
      <c r="I28" s="11" t="n">
        <v>237900</v>
      </c>
    </row>
    <row r="29">
      <c r="A29" s="15" t="inlineStr">
        <is>
          <t>ADM-MTR-FSD-2024-1024</t>
        </is>
      </c>
      <c r="B29" s="15" t="inlineStr">
        <is>
          <t>Faisalabad</t>
        </is>
      </c>
      <c r="C29" s="15" t="inlineStr">
        <is>
          <t>Motor</t>
        </is>
      </c>
      <c r="D29" s="41" t="n">
        <v>45652</v>
      </c>
      <c r="E29" s="14" t="n">
        <v>12</v>
      </c>
      <c r="F29" s="14" t="n">
        <v>4</v>
      </c>
      <c r="G29" s="14" t="n">
        <v>2304000</v>
      </c>
      <c r="H29" s="14" t="n">
        <v>2938527</v>
      </c>
      <c r="I29" s="14" t="n">
        <v>460800</v>
      </c>
    </row>
    <row r="31">
      <c r="A31" s="9" t="inlineStr">
        <is>
          <t>Table B — Department mapping (by Product Group No)</t>
        </is>
      </c>
    </row>
    <row r="32" ht="30" customHeight="1">
      <c r="A32" s="10" t="inlineStr">
        <is>
          <t>Group No</t>
        </is>
      </c>
      <c r="B32" s="10" t="inlineStr">
        <is>
          <t>Department</t>
        </is>
      </c>
    </row>
    <row r="33">
      <c r="A33" s="43" t="n">
        <v>1</v>
      </c>
      <c r="B33" s="7" t="inlineStr">
        <is>
          <t>Motor Underwriting</t>
        </is>
      </c>
    </row>
    <row r="34">
      <c r="A34" s="42" t="n">
        <v>2</v>
      </c>
      <c r="B34" s="15" t="inlineStr">
        <is>
          <t>Property &amp; Engineering</t>
        </is>
      </c>
    </row>
    <row r="35">
      <c r="A35" s="43" t="n">
        <v>3</v>
      </c>
      <c r="B35" s="7" t="inlineStr">
        <is>
          <t>Marine &amp; Transport</t>
        </is>
      </c>
    </row>
    <row r="36">
      <c r="A36" s="42" t="n">
        <v>4</v>
      </c>
      <c r="B36" s="15" t="inlineStr">
        <is>
          <t>Health &amp; Life Benefits</t>
        </is>
      </c>
    </row>
    <row r="37">
      <c r="A37" s="43" t="n">
        <v>5</v>
      </c>
      <c r="B37" s="7" t="inlineStr">
        <is>
          <t>Special Risks</t>
        </is>
      </c>
    </row>
    <row r="39">
      <c r="A39" s="9" t="inlineStr">
        <is>
          <t>Table C — Report switch</t>
        </is>
      </c>
    </row>
    <row r="40" ht="30" customHeight="1">
      <c r="A40" s="10" t="inlineStr">
        <is>
          <t>Control</t>
        </is>
      </c>
      <c r="B40" s="10" t="inlineStr">
        <is>
          <t>Value</t>
        </is>
      </c>
    </row>
    <row r="41">
      <c r="A41" s="7" t="inlineStr">
        <is>
          <t>Measure number (1=GWP, 2=Claims, 3=Commission, 4=Loss Ratio)</t>
        </is>
      </c>
      <c r="B41" s="43" t="n">
        <v>2</v>
      </c>
    </row>
    <row r="42">
      <c r="A42" s="15" t="inlineStr">
        <is>
          <t>Financial year starts in month</t>
        </is>
      </c>
      <c r="B42" s="42" t="n">
        <v>7</v>
      </c>
    </row>
    <row r="44">
      <c r="A44"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5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Financial Quarter mapping for the July year-end</t>
        </is>
      </c>
    </row>
    <row r="3">
      <c r="A3" s="21" t="inlineStr">
        <is>
          <t>Prepared for:</t>
        </is>
      </c>
      <c r="B3" s="22" t="inlineStr">
        <is>
          <t>Finance Manager — Technical Accounts</t>
        </is>
      </c>
    </row>
    <row r="4">
      <c r="A4" s="21" t="inlineStr">
        <is>
          <t>Prepared by:</t>
        </is>
      </c>
      <c r="B4" s="23" t="n"/>
    </row>
    <row r="5">
      <c r="A5" s="21" t="inlineStr">
        <is>
          <t>Reporting date:</t>
        </is>
      </c>
      <c r="B5" s="22" t="inlineStr">
        <is>
          <t>As at reporting date shown on the dataset</t>
        </is>
      </c>
    </row>
    <row r="7" ht="44" customHeight="1">
      <c r="A7" s="24" t="inlineStr">
        <is>
          <t>Adamjee reports internally on a July to June financial year while the transaction file carries calendar months. The mapping is done with a lookup table that a colleague maintains and which was last corrected after the December pack went out on calendar quarters.</t>
        </is>
      </c>
    </row>
    <row r="9">
      <c r="A9" s="25" t="inlineStr">
        <is>
          <t>Source data: '2.8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Financial Quarter mapping for the July year-end</t>
        </is>
      </c>
      <c r="C13" s="38" t="inlineStr">
        <is>
          <t>A transaction extract with two extra columns: Calendar Quarter and Financial Quarter (July start). Both produced by formula from the month number, with no lookup table.</t>
        </is>
      </c>
      <c r="D13" s="37" t="inlineStr">
        <is>
          <t>Finance Manager — Technical Accounts</t>
        </is>
      </c>
      <c r="E13" s="31" t="n"/>
    </row>
    <row r="14" ht="52" customHeight="1">
      <c r="A14" s="35" t="n">
        <v>2</v>
      </c>
      <c r="B14" s="36" t="inlineStr">
        <is>
          <t>Departmental allocation of premium</t>
        </is>
      </c>
      <c r="C14" s="38" t="inlineStr">
        <is>
          <t>An allocation column returning the department name from the product group number without referencing any lookup table, plus a departmental premium summary built on it.</t>
        </is>
      </c>
      <c r="D14" s="37" t="inlineStr">
        <is>
          <t>Head of Management Reporting</t>
        </is>
      </c>
      <c r="E14" s="31" t="n"/>
    </row>
    <row r="15" ht="65" customHeight="1">
      <c r="A15" s="35" t="n">
        <v>3</v>
      </c>
      <c r="B15" s="36" t="inlineStr">
        <is>
          <t>One-cell Measure Switch for the CFO summary</t>
        </is>
      </c>
      <c r="C15" s="38" t="inlineStr">
        <is>
          <t>A single summary cell driven by the measure number in the control table, returning total GWP, total claims, total commission or the overall loss ratio, correctly formatted for whichever measure is selected.</t>
        </is>
      </c>
      <c r="D15" s="37" t="inlineStr">
        <is>
          <t>Chief Financial Officer</t>
        </is>
      </c>
      <c r="E15" s="31" t="n"/>
    </row>
    <row r="16" ht="52" customHeight="1">
      <c r="A16" s="35" t="n">
        <v>4</v>
      </c>
      <c r="B16" s="36" t="inlineStr">
        <is>
          <t>Weekday profile of policy bookings</t>
        </is>
      </c>
      <c r="C16" s="38" t="inlineStr">
        <is>
          <t>A weekday profile: Day name | Policies booked | Total premium | Average premium, covering all transactions, with the day name derived by formula from the date.</t>
        </is>
      </c>
      <c r="D16" s="37" t="inlineStr">
        <is>
          <t>Head of Operations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52.xml><?xml version="1.0" encoding="utf-8"?>
<worksheet xmlns="http://schemas.openxmlformats.org/spreadsheetml/2006/main">
  <sheetPr>
    <tabColor rgb="001F3864"/>
    <outlinePr summaryBelow="1" summaryRight="1"/>
    <pageSetUpPr/>
  </sheetPr>
  <dimension ref="A1:K51"/>
  <sheetViews>
    <sheetView showGridLines="0" workbookViewId="0">
      <pane ySplit="5" topLeftCell="A6" activePane="bottomLeft" state="frozen"/>
      <selection pane="bottomLeft" activeCell="A1" sqref="A1"/>
    </sheetView>
  </sheetViews>
  <sheetFormatPr baseColWidth="8" defaultRowHeight="15"/>
  <cols>
    <col width="24" customWidth="1" min="1" max="1"/>
    <col width="22" customWidth="1" min="2" max="2"/>
    <col width="12" customWidth="1" min="3" max="3"/>
    <col width="18" customWidth="1" min="4" max="4"/>
    <col width="16" customWidth="1" min="5" max="5"/>
    <col width="12" customWidth="1" min="6" max="6"/>
    <col width="18" customWidth="1" min="7" max="7"/>
    <col width="20" customWidth="1" min="8" max="8"/>
    <col width="20" customWidth="1" min="9" max="9"/>
    <col width="13" customWidth="1" min="10" max="10"/>
    <col width="14" customWidth="1" min="11" max="11"/>
  </cols>
  <sheetData>
    <row r="1" ht="26" customHeight="1">
      <c r="A1" s="1" t="inlineStr">
        <is>
          <t>Dataset 2.9  —  SUMPRODUCT for Multi-Criteria Summing and Counting</t>
        </is>
      </c>
    </row>
    <row r="2" ht="16" customHeight="1">
      <c r="A2" s="2" t="inlineStr">
        <is>
          <t>Session 2: Array Formulas, Advanced Logic &amp; Named Ranges | Part B: Advanced Logical and Math Functions   |   Adamjee Assurance Company Limited (Pakistan) — training data, figures in PKR</t>
        </is>
      </c>
    </row>
    <row r="4">
      <c r="A4" s="9" t="inlineStr">
        <is>
          <t>Table A — Underwriting extract 2024</t>
        </is>
      </c>
    </row>
    <row r="5" ht="30" customHeight="1">
      <c r="A5" s="10" t="inlineStr">
        <is>
          <t>Policy No</t>
        </is>
      </c>
      <c r="B5" s="10" t="inlineStr">
        <is>
          <t>Branch</t>
        </is>
      </c>
      <c r="C5" s="10" t="inlineStr">
        <is>
          <t>Region</t>
        </is>
      </c>
      <c r="D5" s="10" t="inlineStr">
        <is>
          <t>Product</t>
        </is>
      </c>
      <c r="E5" s="10" t="inlineStr">
        <is>
          <t>Channel</t>
        </is>
      </c>
      <c r="F5" s="10" t="inlineStr">
        <is>
          <t>Month</t>
        </is>
      </c>
      <c r="G5" s="10" t="inlineStr">
        <is>
          <t>Sum Insured (PKR)</t>
        </is>
      </c>
      <c r="H5" s="10" t="inlineStr">
        <is>
          <t>Gross Premium (PKR)</t>
        </is>
      </c>
      <c r="I5" s="10" t="inlineStr">
        <is>
          <t>Claims Paid (PKR)</t>
        </is>
      </c>
      <c r="J5" s="10" t="inlineStr">
        <is>
          <t>Commission %</t>
        </is>
      </c>
      <c r="K5" s="10" t="inlineStr">
        <is>
          <t>Policy Status</t>
        </is>
      </c>
    </row>
    <row r="6">
      <c r="A6" s="7" t="inlineStr">
        <is>
          <t>ADM-FIR-KHI-2024-1001</t>
        </is>
      </c>
      <c r="B6" s="7" t="inlineStr">
        <is>
          <t>Karachi Main</t>
        </is>
      </c>
      <c r="C6" s="7" t="inlineStr">
        <is>
          <t>South</t>
        </is>
      </c>
      <c r="D6" s="7" t="inlineStr">
        <is>
          <t>Fire &amp; Property</t>
        </is>
      </c>
      <c r="E6" s="7" t="inlineStr">
        <is>
          <t>Direct</t>
        </is>
      </c>
      <c r="F6" s="7" t="inlineStr">
        <is>
          <t>Jan-2024</t>
        </is>
      </c>
      <c r="G6" s="11" t="n">
        <v>4500000</v>
      </c>
      <c r="H6" s="11" t="n">
        <v>96000</v>
      </c>
      <c r="I6" s="11" t="n">
        <v>96262</v>
      </c>
      <c r="J6" s="13" t="n">
        <v>0.15</v>
      </c>
      <c r="K6" s="7" t="inlineStr">
        <is>
          <t>Active</t>
        </is>
      </c>
    </row>
    <row r="7">
      <c r="A7" s="15" t="inlineStr">
        <is>
          <t>ADM-TRV-LHR-2024-1002</t>
        </is>
      </c>
      <c r="B7" s="15" t="inlineStr">
        <is>
          <t>Lahore Gulberg</t>
        </is>
      </c>
      <c r="C7" s="15" t="inlineStr">
        <is>
          <t>Central</t>
        </is>
      </c>
      <c r="D7" s="15" t="inlineStr">
        <is>
          <t>Travel</t>
        </is>
      </c>
      <c r="E7" s="15" t="inlineStr">
        <is>
          <t>Agency</t>
        </is>
      </c>
      <c r="F7" s="15" t="inlineStr">
        <is>
          <t>Feb-2024</t>
        </is>
      </c>
      <c r="G7" s="14" t="n">
        <v>12000000</v>
      </c>
      <c r="H7" s="14" t="n">
        <v>201000</v>
      </c>
      <c r="I7" s="14" t="n">
        <v>111595</v>
      </c>
      <c r="J7" s="17" t="n">
        <v>0.175</v>
      </c>
      <c r="K7" s="15" t="inlineStr">
        <is>
          <t>Active</t>
        </is>
      </c>
    </row>
    <row r="8">
      <c r="A8" s="7" t="inlineStr">
        <is>
          <t>ADM-MTR-ISB-2024-1003</t>
        </is>
      </c>
      <c r="B8" s="7" t="inlineStr">
        <is>
          <t>Islamabad Blue Area</t>
        </is>
      </c>
      <c r="C8" s="7" t="inlineStr">
        <is>
          <t>North</t>
        </is>
      </c>
      <c r="D8" s="7" t="inlineStr">
        <is>
          <t>Motor</t>
        </is>
      </c>
      <c r="E8" s="7" t="inlineStr">
        <is>
          <t>Bancassurance</t>
        </is>
      </c>
      <c r="F8" s="7" t="inlineStr">
        <is>
          <t>Mar-2024</t>
        </is>
      </c>
      <c r="G8" s="11" t="n">
        <v>65000000</v>
      </c>
      <c r="H8" s="11" t="n">
        <v>1397000</v>
      </c>
      <c r="I8" s="11" t="n">
        <v>1436098</v>
      </c>
      <c r="J8" s="13" t="n">
        <v>0.125</v>
      </c>
      <c r="K8" s="7" t="inlineStr">
        <is>
          <t>Active</t>
        </is>
      </c>
    </row>
    <row r="9">
      <c r="A9" s="15" t="inlineStr">
        <is>
          <t>ADM-HLT-FSD-2024-1004</t>
        </is>
      </c>
      <c r="B9" s="15" t="inlineStr">
        <is>
          <t>Faisalabad</t>
        </is>
      </c>
      <c r="C9" s="15" t="inlineStr">
        <is>
          <t>Central</t>
        </is>
      </c>
      <c r="D9" s="15" t="inlineStr">
        <is>
          <t>Health</t>
        </is>
      </c>
      <c r="E9" s="15" t="inlineStr">
        <is>
          <t>Corporate</t>
        </is>
      </c>
      <c r="F9" s="15" t="inlineStr">
        <is>
          <t>Apr-2024</t>
        </is>
      </c>
      <c r="G9" s="14" t="n">
        <v>18500000</v>
      </c>
      <c r="H9" s="14" t="n">
        <v>305000</v>
      </c>
      <c r="I9" s="14" t="n">
        <v>185930</v>
      </c>
      <c r="J9" s="17" t="n">
        <v>0.125</v>
      </c>
      <c r="K9" s="15" t="inlineStr">
        <is>
          <t>Cancelled</t>
        </is>
      </c>
    </row>
    <row r="10">
      <c r="A10" s="7" t="inlineStr">
        <is>
          <t>ADM-MSC-MUL-2024-1005</t>
        </is>
      </c>
      <c r="B10" s="7" t="inlineStr">
        <is>
          <t>Multan</t>
        </is>
      </c>
      <c r="C10" s="7" t="inlineStr">
        <is>
          <t>Central</t>
        </is>
      </c>
      <c r="D10" s="7" t="inlineStr">
        <is>
          <t>Miscellaneous</t>
        </is>
      </c>
      <c r="E10" s="7" t="inlineStr">
        <is>
          <t>Direct</t>
        </is>
      </c>
      <c r="F10" s="7" t="inlineStr">
        <is>
          <t>May-2024</t>
        </is>
      </c>
      <c r="G10" s="11" t="n">
        <v>4500000</v>
      </c>
      <c r="H10" s="11" t="n">
        <v>75000</v>
      </c>
      <c r="I10" s="11" t="n">
        <v>44061</v>
      </c>
      <c r="J10" s="13" t="n">
        <v>0.175</v>
      </c>
      <c r="K10" s="7" t="inlineStr">
        <is>
          <t>Active</t>
        </is>
      </c>
    </row>
    <row r="11">
      <c r="A11" s="15" t="inlineStr">
        <is>
          <t>ADM-MAR-PEW-2024-1006</t>
        </is>
      </c>
      <c r="B11" s="15" t="inlineStr">
        <is>
          <t>Peshawar</t>
        </is>
      </c>
      <c r="C11" s="15" t="inlineStr">
        <is>
          <t>North</t>
        </is>
      </c>
      <c r="D11" s="15" t="inlineStr">
        <is>
          <t>Marine Cargo</t>
        </is>
      </c>
      <c r="E11" s="15" t="inlineStr">
        <is>
          <t>Agency</t>
        </is>
      </c>
      <c r="F11" s="15" t="inlineStr">
        <is>
          <t>Jun-2024</t>
        </is>
      </c>
      <c r="G11" s="14" t="n">
        <v>25000000</v>
      </c>
      <c r="H11" s="14" t="n">
        <v>380000</v>
      </c>
      <c r="I11" s="14" t="n">
        <v>91249</v>
      </c>
      <c r="J11" s="17" t="n">
        <v>0.125</v>
      </c>
      <c r="K11" s="15" t="inlineStr">
        <is>
          <t>Active</t>
        </is>
      </c>
    </row>
    <row r="12">
      <c r="A12" s="7" t="inlineStr">
        <is>
          <t>ADM-ENG-QTA-2024-1007</t>
        </is>
      </c>
      <c r="B12" s="7" t="inlineStr">
        <is>
          <t>Quetta</t>
        </is>
      </c>
      <c r="C12" s="7" t="inlineStr">
        <is>
          <t>South</t>
        </is>
      </c>
      <c r="D12" s="7" t="inlineStr">
        <is>
          <t>Engineering</t>
        </is>
      </c>
      <c r="E12" s="7" t="inlineStr">
        <is>
          <t>Bancassurance</t>
        </is>
      </c>
      <c r="F12" s="7" t="inlineStr">
        <is>
          <t>Jul-2024</t>
        </is>
      </c>
      <c r="G12" s="11" t="n">
        <v>18500000</v>
      </c>
      <c r="H12" s="11" t="n">
        <v>227000</v>
      </c>
      <c r="I12" s="11" t="n">
        <v>78775</v>
      </c>
      <c r="J12" s="13" t="n">
        <v>0.125</v>
      </c>
      <c r="K12" s="7" t="inlineStr">
        <is>
          <t>Active</t>
        </is>
      </c>
    </row>
    <row r="13">
      <c r="A13" s="15" t="inlineStr">
        <is>
          <t>ADM-FIR-HYD-2024-1008</t>
        </is>
      </c>
      <c r="B13" s="15" t="inlineStr">
        <is>
          <t>Hyderabad</t>
        </is>
      </c>
      <c r="C13" s="15" t="inlineStr">
        <is>
          <t>South</t>
        </is>
      </c>
      <c r="D13" s="15" t="inlineStr">
        <is>
          <t>Fire &amp; Property</t>
        </is>
      </c>
      <c r="E13" s="15" t="inlineStr">
        <is>
          <t>Corporate</t>
        </is>
      </c>
      <c r="F13" s="15" t="inlineStr">
        <is>
          <t>Aug-2024</t>
        </is>
      </c>
      <c r="G13" s="14" t="n">
        <v>25000000</v>
      </c>
      <c r="H13" s="14" t="n">
        <v>290000</v>
      </c>
      <c r="I13" s="14" t="n">
        <v>249183</v>
      </c>
      <c r="J13" s="17" t="n">
        <v>0.125</v>
      </c>
      <c r="K13" s="15" t="inlineStr">
        <is>
          <t>Renewed</t>
        </is>
      </c>
    </row>
    <row r="14">
      <c r="A14" s="7" t="inlineStr">
        <is>
          <t>ADM-TRV-SKT-2024-1009</t>
        </is>
      </c>
      <c r="B14" s="7" t="inlineStr">
        <is>
          <t>Sialkot</t>
        </is>
      </c>
      <c r="C14" s="7" t="inlineStr">
        <is>
          <t>Central</t>
        </is>
      </c>
      <c r="D14" s="7" t="inlineStr">
        <is>
          <t>Travel</t>
        </is>
      </c>
      <c r="E14" s="7" t="inlineStr">
        <is>
          <t>Direct</t>
        </is>
      </c>
      <c r="F14" s="7" t="inlineStr">
        <is>
          <t>Sep-2024</t>
        </is>
      </c>
      <c r="G14" s="11" t="n">
        <v>7500000</v>
      </c>
      <c r="H14" s="11" t="n">
        <v>37000</v>
      </c>
      <c r="I14" s="11" t="n">
        <v>48145</v>
      </c>
      <c r="J14" s="13" t="n">
        <v>0.125</v>
      </c>
      <c r="K14" s="7" t="inlineStr">
        <is>
          <t>Active</t>
        </is>
      </c>
    </row>
    <row r="15">
      <c r="A15" s="15" t="inlineStr">
        <is>
          <t>ADM-MTR-RWP-2024-1010</t>
        </is>
      </c>
      <c r="B15" s="15" t="inlineStr">
        <is>
          <t>Rawalpindi</t>
        </is>
      </c>
      <c r="C15" s="15" t="inlineStr">
        <is>
          <t>North</t>
        </is>
      </c>
      <c r="D15" s="15" t="inlineStr">
        <is>
          <t>Motor</t>
        </is>
      </c>
      <c r="E15" s="15" t="inlineStr">
        <is>
          <t>Agency</t>
        </is>
      </c>
      <c r="F15" s="15" t="inlineStr">
        <is>
          <t>Oct-2024</t>
        </is>
      </c>
      <c r="G15" s="14" t="n">
        <v>65000000</v>
      </c>
      <c r="H15" s="14" t="n">
        <v>760000</v>
      </c>
      <c r="I15" s="14" t="n">
        <v>162016</v>
      </c>
      <c r="J15" s="17" t="n">
        <v>0.2</v>
      </c>
      <c r="K15" s="15" t="inlineStr">
        <is>
          <t>Cancelled</t>
        </is>
      </c>
    </row>
    <row r="16">
      <c r="A16" s="7" t="inlineStr">
        <is>
          <t>ADM-HLT-KHI-2024-1011</t>
        </is>
      </c>
      <c r="B16" s="7" t="inlineStr">
        <is>
          <t>Karachi Main</t>
        </is>
      </c>
      <c r="C16" s="7" t="inlineStr">
        <is>
          <t>South</t>
        </is>
      </c>
      <c r="D16" s="7" t="inlineStr">
        <is>
          <t>Health</t>
        </is>
      </c>
      <c r="E16" s="7" t="inlineStr">
        <is>
          <t>Bancassurance</t>
        </is>
      </c>
      <c r="F16" s="7" t="inlineStr">
        <is>
          <t>Nov-2024</t>
        </is>
      </c>
      <c r="G16" s="11" t="n">
        <v>90000000</v>
      </c>
      <c r="H16" s="11" t="n">
        <v>603000</v>
      </c>
      <c r="I16" s="11" t="n">
        <v>595704</v>
      </c>
      <c r="J16" s="13" t="n">
        <v>0.2</v>
      </c>
      <c r="K16" s="7" t="inlineStr">
        <is>
          <t>Active</t>
        </is>
      </c>
    </row>
    <row r="17">
      <c r="A17" s="15" t="inlineStr">
        <is>
          <t>ADM-MSC-LHR-2024-1012</t>
        </is>
      </c>
      <c r="B17" s="15" t="inlineStr">
        <is>
          <t>Lahore Gulberg</t>
        </is>
      </c>
      <c r="C17" s="15" t="inlineStr">
        <is>
          <t>Central</t>
        </is>
      </c>
      <c r="D17" s="15" t="inlineStr">
        <is>
          <t>Miscellaneous</t>
        </is>
      </c>
      <c r="E17" s="15" t="inlineStr">
        <is>
          <t>Corporate</t>
        </is>
      </c>
      <c r="F17" s="15" t="inlineStr">
        <is>
          <t>Dec-2024</t>
        </is>
      </c>
      <c r="G17" s="14" t="n">
        <v>40000000</v>
      </c>
      <c r="H17" s="14" t="n">
        <v>512000</v>
      </c>
      <c r="I17" s="14" t="n">
        <v>394713</v>
      </c>
      <c r="J17" s="17" t="n">
        <v>0.125</v>
      </c>
      <c r="K17" s="15" t="inlineStr">
        <is>
          <t>Active</t>
        </is>
      </c>
    </row>
    <row r="18">
      <c r="A18" s="7" t="inlineStr">
        <is>
          <t>ADM-MAR-ISB-2024-1013</t>
        </is>
      </c>
      <c r="B18" s="7" t="inlineStr">
        <is>
          <t>Islamabad Blue Area</t>
        </is>
      </c>
      <c r="C18" s="7" t="inlineStr">
        <is>
          <t>North</t>
        </is>
      </c>
      <c r="D18" s="7" t="inlineStr">
        <is>
          <t>Marine Cargo</t>
        </is>
      </c>
      <c r="E18" s="7" t="inlineStr">
        <is>
          <t>Direct</t>
        </is>
      </c>
      <c r="F18" s="7" t="inlineStr">
        <is>
          <t>Jan-2024</t>
        </is>
      </c>
      <c r="G18" s="11" t="n">
        <v>90000000</v>
      </c>
      <c r="H18" s="11" t="n">
        <v>2169000</v>
      </c>
      <c r="I18" s="11" t="n">
        <v>2687419</v>
      </c>
      <c r="J18" s="13" t="n">
        <v>0.125</v>
      </c>
      <c r="K18" s="7" t="inlineStr">
        <is>
          <t>Active</t>
        </is>
      </c>
    </row>
    <row r="19">
      <c r="A19" s="15" t="inlineStr">
        <is>
          <t>ADM-ENG-FSD-2024-1014</t>
        </is>
      </c>
      <c r="B19" s="15" t="inlineStr">
        <is>
          <t>Faisalabad</t>
        </is>
      </c>
      <c r="C19" s="15" t="inlineStr">
        <is>
          <t>Central</t>
        </is>
      </c>
      <c r="D19" s="15" t="inlineStr">
        <is>
          <t>Engineering</t>
        </is>
      </c>
      <c r="E19" s="15" t="inlineStr">
        <is>
          <t>Agency</t>
        </is>
      </c>
      <c r="F19" s="15" t="inlineStr">
        <is>
          <t>Feb-2024</t>
        </is>
      </c>
      <c r="G19" s="14" t="n">
        <v>90000000</v>
      </c>
      <c r="H19" s="14" t="n">
        <v>1089000</v>
      </c>
      <c r="I19" s="14" t="n">
        <v>1020517</v>
      </c>
      <c r="J19" s="17" t="n">
        <v>0.175</v>
      </c>
      <c r="K19" s="15" t="inlineStr">
        <is>
          <t>Active</t>
        </is>
      </c>
    </row>
    <row r="20">
      <c r="A20" s="7" t="inlineStr">
        <is>
          <t>ADM-FIR-MUL-2024-1015</t>
        </is>
      </c>
      <c r="B20" s="7" t="inlineStr">
        <is>
          <t>Multan</t>
        </is>
      </c>
      <c r="C20" s="7" t="inlineStr">
        <is>
          <t>Central</t>
        </is>
      </c>
      <c r="D20" s="7" t="inlineStr">
        <is>
          <t>Fire &amp; Property</t>
        </is>
      </c>
      <c r="E20" s="7" t="inlineStr">
        <is>
          <t>Bancassurance</t>
        </is>
      </c>
      <c r="F20" s="7" t="inlineStr">
        <is>
          <t>Mar-2024</t>
        </is>
      </c>
      <c r="G20" s="11" t="n">
        <v>18500000</v>
      </c>
      <c r="H20" s="11" t="n">
        <v>484000</v>
      </c>
      <c r="I20" s="11" t="n">
        <v>575693</v>
      </c>
      <c r="J20" s="13" t="n">
        <v>0.2</v>
      </c>
      <c r="K20" s="7" t="inlineStr">
        <is>
          <t>Cancelled</t>
        </is>
      </c>
    </row>
    <row r="21">
      <c r="A21" s="15" t="inlineStr">
        <is>
          <t>ADM-TRV-PEW-2024-1016</t>
        </is>
      </c>
      <c r="B21" s="15" t="inlineStr">
        <is>
          <t>Peshawar</t>
        </is>
      </c>
      <c r="C21" s="15" t="inlineStr">
        <is>
          <t>North</t>
        </is>
      </c>
      <c r="D21" s="15" t="inlineStr">
        <is>
          <t>Travel</t>
        </is>
      </c>
      <c r="E21" s="15" t="inlineStr">
        <is>
          <t>Corporate</t>
        </is>
      </c>
      <c r="F21" s="15" t="inlineStr">
        <is>
          <t>Apr-2024</t>
        </is>
      </c>
      <c r="G21" s="14" t="n">
        <v>2800000</v>
      </c>
      <c r="H21" s="14" t="n">
        <v>74000</v>
      </c>
      <c r="I21" s="14" t="n">
        <v>114737</v>
      </c>
      <c r="J21" s="17" t="n">
        <v>0.125</v>
      </c>
      <c r="K21" s="15" t="inlineStr">
        <is>
          <t>Active</t>
        </is>
      </c>
    </row>
    <row r="22">
      <c r="A22" s="7" t="inlineStr">
        <is>
          <t>ADM-MTR-QTA-2024-1017</t>
        </is>
      </c>
      <c r="B22" s="7" t="inlineStr">
        <is>
          <t>Quetta</t>
        </is>
      </c>
      <c r="C22" s="7" t="inlineStr">
        <is>
          <t>South</t>
        </is>
      </c>
      <c r="D22" s="7" t="inlineStr">
        <is>
          <t>Motor</t>
        </is>
      </c>
      <c r="E22" s="7" t="inlineStr">
        <is>
          <t>Direct</t>
        </is>
      </c>
      <c r="F22" s="7" t="inlineStr">
        <is>
          <t>May-2024</t>
        </is>
      </c>
      <c r="G22" s="11" t="n">
        <v>40000000</v>
      </c>
      <c r="H22" s="11" t="n">
        <v>835000</v>
      </c>
      <c r="I22" s="11" t="n">
        <v>672109</v>
      </c>
      <c r="J22" s="13" t="n">
        <v>0.15</v>
      </c>
      <c r="K22" s="7" t="inlineStr">
        <is>
          <t>Active</t>
        </is>
      </c>
    </row>
    <row r="23">
      <c r="A23" s="15" t="inlineStr">
        <is>
          <t>ADM-HLT-HYD-2024-1018</t>
        </is>
      </c>
      <c r="B23" s="15" t="inlineStr">
        <is>
          <t>Hyderabad</t>
        </is>
      </c>
      <c r="C23" s="15" t="inlineStr">
        <is>
          <t>South</t>
        </is>
      </c>
      <c r="D23" s="15" t="inlineStr">
        <is>
          <t>Health</t>
        </is>
      </c>
      <c r="E23" s="15" t="inlineStr">
        <is>
          <t>Agency</t>
        </is>
      </c>
      <c r="F23" s="15" t="inlineStr">
        <is>
          <t>Jun-2024</t>
        </is>
      </c>
      <c r="G23" s="14" t="n">
        <v>7500000</v>
      </c>
      <c r="H23" s="14" t="n">
        <v>174000</v>
      </c>
      <c r="I23" s="14" t="n">
        <v>259300</v>
      </c>
      <c r="J23" s="17" t="n">
        <v>0.125</v>
      </c>
      <c r="K23" s="15" t="inlineStr">
        <is>
          <t>Cancelled</t>
        </is>
      </c>
    </row>
    <row r="24">
      <c r="A24" s="7" t="inlineStr">
        <is>
          <t>ADM-MSC-SKT-2024-1019</t>
        </is>
      </c>
      <c r="B24" s="7" t="inlineStr">
        <is>
          <t>Sialkot</t>
        </is>
      </c>
      <c r="C24" s="7" t="inlineStr">
        <is>
          <t>Central</t>
        </is>
      </c>
      <c r="D24" s="7" t="inlineStr">
        <is>
          <t>Miscellaneous</t>
        </is>
      </c>
      <c r="E24" s="7" t="inlineStr">
        <is>
          <t>Bancassurance</t>
        </is>
      </c>
      <c r="F24" s="7" t="inlineStr">
        <is>
          <t>Jul-2024</t>
        </is>
      </c>
      <c r="G24" s="11" t="n">
        <v>90000000</v>
      </c>
      <c r="H24" s="11" t="n">
        <v>927000</v>
      </c>
      <c r="I24" s="11" t="n">
        <v>505938</v>
      </c>
      <c r="J24" s="13" t="n">
        <v>0.2</v>
      </c>
      <c r="K24" s="7" t="inlineStr">
        <is>
          <t>Renewed</t>
        </is>
      </c>
    </row>
    <row r="25">
      <c r="A25" s="15" t="inlineStr">
        <is>
          <t>ADM-MAR-RWP-2024-1020</t>
        </is>
      </c>
      <c r="B25" s="15" t="inlineStr">
        <is>
          <t>Rawalpindi</t>
        </is>
      </c>
      <c r="C25" s="15" t="inlineStr">
        <is>
          <t>North</t>
        </is>
      </c>
      <c r="D25" s="15" t="inlineStr">
        <is>
          <t>Marine Cargo</t>
        </is>
      </c>
      <c r="E25" s="15" t="inlineStr">
        <is>
          <t>Corporate</t>
        </is>
      </c>
      <c r="F25" s="15" t="inlineStr">
        <is>
          <t>Aug-2024</t>
        </is>
      </c>
      <c r="G25" s="14" t="n">
        <v>7500000</v>
      </c>
      <c r="H25" s="14" t="n">
        <v>181000</v>
      </c>
      <c r="I25" s="14" t="n">
        <v>181691</v>
      </c>
      <c r="J25" s="17" t="n">
        <v>0.15</v>
      </c>
      <c r="K25" s="15" t="inlineStr">
        <is>
          <t>Active</t>
        </is>
      </c>
    </row>
    <row r="26">
      <c r="A26" s="7" t="inlineStr">
        <is>
          <t>ADM-ENG-KHI-2024-1021</t>
        </is>
      </c>
      <c r="B26" s="7" t="inlineStr">
        <is>
          <t>Karachi Main</t>
        </is>
      </c>
      <c r="C26" s="7" t="inlineStr">
        <is>
          <t>South</t>
        </is>
      </c>
      <c r="D26" s="7" t="inlineStr">
        <is>
          <t>Engineering</t>
        </is>
      </c>
      <c r="E26" s="7" t="inlineStr">
        <is>
          <t>Direct</t>
        </is>
      </c>
      <c r="F26" s="7" t="inlineStr">
        <is>
          <t>Sep-2024</t>
        </is>
      </c>
      <c r="G26" s="11" t="n">
        <v>4500000</v>
      </c>
      <c r="H26" s="11" t="n">
        <v>78000</v>
      </c>
      <c r="I26" s="11" t="n">
        <v>32635</v>
      </c>
      <c r="J26" s="13" t="n">
        <v>0.15</v>
      </c>
      <c r="K26" s="7" t="inlineStr">
        <is>
          <t>Lapsed</t>
        </is>
      </c>
    </row>
    <row r="27">
      <c r="A27" s="15" t="inlineStr">
        <is>
          <t>ADM-FIR-LHR-2024-1022</t>
        </is>
      </c>
      <c r="B27" s="15" t="inlineStr">
        <is>
          <t>Lahore Gulberg</t>
        </is>
      </c>
      <c r="C27" s="15" t="inlineStr">
        <is>
          <t>Central</t>
        </is>
      </c>
      <c r="D27" s="15" t="inlineStr">
        <is>
          <t>Fire &amp; Property</t>
        </is>
      </c>
      <c r="E27" s="15" t="inlineStr">
        <is>
          <t>Agency</t>
        </is>
      </c>
      <c r="F27" s="15" t="inlineStr">
        <is>
          <t>Oct-2024</t>
        </is>
      </c>
      <c r="G27" s="14" t="n">
        <v>40000000</v>
      </c>
      <c r="H27" s="14" t="n">
        <v>368000</v>
      </c>
      <c r="I27" s="14" t="n">
        <v>117086</v>
      </c>
      <c r="J27" s="17" t="n">
        <v>0.125</v>
      </c>
      <c r="K27" s="15" t="inlineStr">
        <is>
          <t>Renewed</t>
        </is>
      </c>
    </row>
    <row r="28">
      <c r="A28" s="7" t="inlineStr">
        <is>
          <t>ADM-TRV-ISB-2024-1023</t>
        </is>
      </c>
      <c r="B28" s="7" t="inlineStr">
        <is>
          <t>Islamabad Blue Area</t>
        </is>
      </c>
      <c r="C28" s="7" t="inlineStr">
        <is>
          <t>North</t>
        </is>
      </c>
      <c r="D28" s="7" t="inlineStr">
        <is>
          <t>Travel</t>
        </is>
      </c>
      <c r="E28" s="7" t="inlineStr">
        <is>
          <t>Bancassurance</t>
        </is>
      </c>
      <c r="F28" s="7" t="inlineStr">
        <is>
          <t>Nov-2024</t>
        </is>
      </c>
      <c r="G28" s="11" t="n">
        <v>65000000</v>
      </c>
      <c r="H28" s="11" t="n">
        <v>1586000</v>
      </c>
      <c r="I28" s="11" t="n">
        <v>625762</v>
      </c>
      <c r="J28" s="13" t="n">
        <v>0.15</v>
      </c>
      <c r="K28" s="7" t="inlineStr">
        <is>
          <t>Active</t>
        </is>
      </c>
    </row>
    <row r="29">
      <c r="A29" s="15" t="inlineStr">
        <is>
          <t>ADM-MTR-FSD-2024-1024</t>
        </is>
      </c>
      <c r="B29" s="15" t="inlineStr">
        <is>
          <t>Faisalabad</t>
        </is>
      </c>
      <c r="C29" s="15" t="inlineStr">
        <is>
          <t>Central</t>
        </is>
      </c>
      <c r="D29" s="15" t="inlineStr">
        <is>
          <t>Motor</t>
        </is>
      </c>
      <c r="E29" s="15" t="inlineStr">
        <is>
          <t>Corporate</t>
        </is>
      </c>
      <c r="F29" s="15" t="inlineStr">
        <is>
          <t>Dec-2024</t>
        </is>
      </c>
      <c r="G29" s="14" t="n">
        <v>90000000</v>
      </c>
      <c r="H29" s="14" t="n">
        <v>2304000</v>
      </c>
      <c r="I29" s="14" t="n">
        <v>2938527</v>
      </c>
      <c r="J29" s="17" t="n">
        <v>0.2</v>
      </c>
      <c r="K29" s="15" t="inlineStr">
        <is>
          <t>Renewed</t>
        </is>
      </c>
    </row>
    <row r="30">
      <c r="A30" s="7" t="inlineStr">
        <is>
          <t>ADM-HLT-MUL-2024-1025</t>
        </is>
      </c>
      <c r="B30" s="7" t="inlineStr">
        <is>
          <t>Multan</t>
        </is>
      </c>
      <c r="C30" s="7" t="inlineStr">
        <is>
          <t>Central</t>
        </is>
      </c>
      <c r="D30" s="7" t="inlineStr">
        <is>
          <t>Health</t>
        </is>
      </c>
      <c r="E30" s="7" t="inlineStr">
        <is>
          <t>Direct</t>
        </is>
      </c>
      <c r="F30" s="7" t="inlineStr">
        <is>
          <t>Jan-2024</t>
        </is>
      </c>
      <c r="G30" s="11" t="n">
        <v>2800000</v>
      </c>
      <c r="H30" s="11" t="n">
        <v>19000</v>
      </c>
      <c r="I30" s="11" t="n">
        <v>28171</v>
      </c>
      <c r="J30" s="13" t="n">
        <v>0.1</v>
      </c>
      <c r="K30" s="7" t="inlineStr">
        <is>
          <t>Lapsed</t>
        </is>
      </c>
    </row>
    <row r="31">
      <c r="A31" s="15" t="inlineStr">
        <is>
          <t>ADM-MSC-PEW-2024-1026</t>
        </is>
      </c>
      <c r="B31" s="15" t="inlineStr">
        <is>
          <t>Peshawar</t>
        </is>
      </c>
      <c r="C31" s="15" t="inlineStr">
        <is>
          <t>North</t>
        </is>
      </c>
      <c r="D31" s="15" t="inlineStr">
        <is>
          <t>Miscellaneous</t>
        </is>
      </c>
      <c r="E31" s="15" t="inlineStr">
        <is>
          <t>Agency</t>
        </is>
      </c>
      <c r="F31" s="15" t="inlineStr">
        <is>
          <t>Feb-2024</t>
        </is>
      </c>
      <c r="G31" s="14" t="n">
        <v>7500000</v>
      </c>
      <c r="H31" s="14" t="n">
        <v>193000</v>
      </c>
      <c r="I31" s="14" t="n">
        <v>17765</v>
      </c>
      <c r="J31" s="17" t="n">
        <v>0.2</v>
      </c>
      <c r="K31" s="15" t="inlineStr">
        <is>
          <t>Active</t>
        </is>
      </c>
    </row>
    <row r="32">
      <c r="A32" s="7" t="inlineStr">
        <is>
          <t>ADM-MAR-QTA-2024-1027</t>
        </is>
      </c>
      <c r="B32" s="7" t="inlineStr">
        <is>
          <t>Quetta</t>
        </is>
      </c>
      <c r="C32" s="7" t="inlineStr">
        <is>
          <t>South</t>
        </is>
      </c>
      <c r="D32" s="7" t="inlineStr">
        <is>
          <t>Marine Cargo</t>
        </is>
      </c>
      <c r="E32" s="7" t="inlineStr">
        <is>
          <t>Bancassurance</t>
        </is>
      </c>
      <c r="F32" s="7" t="inlineStr">
        <is>
          <t>Mar-2024</t>
        </is>
      </c>
      <c r="G32" s="11" t="n">
        <v>4500000</v>
      </c>
      <c r="H32" s="11" t="n">
        <v>43000</v>
      </c>
      <c r="I32" s="11" t="n">
        <v>32814</v>
      </c>
      <c r="J32" s="13" t="n">
        <v>0.2</v>
      </c>
      <c r="K32" s="7" t="inlineStr">
        <is>
          <t>Cancelled</t>
        </is>
      </c>
    </row>
    <row r="33">
      <c r="A33" s="15" t="inlineStr">
        <is>
          <t>ADM-ENG-HYD-2024-1028</t>
        </is>
      </c>
      <c r="B33" s="15" t="inlineStr">
        <is>
          <t>Hyderabad</t>
        </is>
      </c>
      <c r="C33" s="15" t="inlineStr">
        <is>
          <t>South</t>
        </is>
      </c>
      <c r="D33" s="15" t="inlineStr">
        <is>
          <t>Engineering</t>
        </is>
      </c>
      <c r="E33" s="15" t="inlineStr">
        <is>
          <t>Corporate</t>
        </is>
      </c>
      <c r="F33" s="15" t="inlineStr">
        <is>
          <t>Apr-2024</t>
        </is>
      </c>
      <c r="G33" s="14" t="n">
        <v>4500000</v>
      </c>
      <c r="H33" s="14" t="n">
        <v>27000</v>
      </c>
      <c r="I33" s="14" t="n">
        <v>22858</v>
      </c>
      <c r="J33" s="17" t="n">
        <v>0.2</v>
      </c>
      <c r="K33" s="15" t="inlineStr">
        <is>
          <t>Active</t>
        </is>
      </c>
    </row>
    <row r="34">
      <c r="A34" s="7" t="inlineStr">
        <is>
          <t>ADM-FIR-SKT-2024-1029</t>
        </is>
      </c>
      <c r="B34" s="7" t="inlineStr">
        <is>
          <t>Sialkot</t>
        </is>
      </c>
      <c r="C34" s="7" t="inlineStr">
        <is>
          <t>Central</t>
        </is>
      </c>
      <c r="D34" s="7" t="inlineStr">
        <is>
          <t>Fire &amp; Property</t>
        </is>
      </c>
      <c r="E34" s="7" t="inlineStr">
        <is>
          <t>Direct</t>
        </is>
      </c>
      <c r="F34" s="7" t="inlineStr">
        <is>
          <t>May-2024</t>
        </is>
      </c>
      <c r="G34" s="11" t="n">
        <v>65000000</v>
      </c>
      <c r="H34" s="11" t="n">
        <v>1527000</v>
      </c>
      <c r="I34" s="11" t="n">
        <v>181283</v>
      </c>
      <c r="J34" s="13" t="n">
        <v>0.2</v>
      </c>
      <c r="K34" s="7" t="inlineStr">
        <is>
          <t>Cancelled</t>
        </is>
      </c>
    </row>
    <row r="35">
      <c r="A35" s="15" t="inlineStr">
        <is>
          <t>ADM-TRV-RWP-2024-1030</t>
        </is>
      </c>
      <c r="B35" s="15" t="inlineStr">
        <is>
          <t>Rawalpindi</t>
        </is>
      </c>
      <c r="C35" s="15" t="inlineStr">
        <is>
          <t>North</t>
        </is>
      </c>
      <c r="D35" s="15" t="inlineStr">
        <is>
          <t>Travel</t>
        </is>
      </c>
      <c r="E35" s="15" t="inlineStr">
        <is>
          <t>Agency</t>
        </is>
      </c>
      <c r="F35" s="15" t="inlineStr">
        <is>
          <t>Jun-2024</t>
        </is>
      </c>
      <c r="G35" s="14" t="n">
        <v>90000000</v>
      </c>
      <c r="H35" s="14" t="n">
        <v>594000</v>
      </c>
      <c r="I35" s="14" t="n">
        <v>713976</v>
      </c>
      <c r="J35" s="17" t="n">
        <v>0.125</v>
      </c>
      <c r="K35" s="15" t="inlineStr">
        <is>
          <t>Lapsed</t>
        </is>
      </c>
    </row>
    <row r="36">
      <c r="A36" s="7" t="inlineStr">
        <is>
          <t>ADM-MTR-KHI-2024-1031</t>
        </is>
      </c>
      <c r="B36" s="7" t="inlineStr">
        <is>
          <t>Karachi Main</t>
        </is>
      </c>
      <c r="C36" s="7" t="inlineStr">
        <is>
          <t>South</t>
        </is>
      </c>
      <c r="D36" s="7" t="inlineStr">
        <is>
          <t>Motor</t>
        </is>
      </c>
      <c r="E36" s="7" t="inlineStr">
        <is>
          <t>Bancassurance</t>
        </is>
      </c>
      <c r="F36" s="7" t="inlineStr">
        <is>
          <t>Jul-2024</t>
        </is>
      </c>
      <c r="G36" s="11" t="n">
        <v>1500000</v>
      </c>
      <c r="H36" s="11" t="n">
        <v>10000</v>
      </c>
      <c r="I36" s="11" t="n">
        <v>3023</v>
      </c>
      <c r="J36" s="13" t="n">
        <v>0.1</v>
      </c>
      <c r="K36" s="7" t="inlineStr">
        <is>
          <t>Active</t>
        </is>
      </c>
    </row>
    <row r="37">
      <c r="A37" s="15" t="inlineStr">
        <is>
          <t>ADM-HLT-LHR-2024-1032</t>
        </is>
      </c>
      <c r="B37" s="15" t="inlineStr">
        <is>
          <t>Lahore Gulberg</t>
        </is>
      </c>
      <c r="C37" s="15" t="inlineStr">
        <is>
          <t>Central</t>
        </is>
      </c>
      <c r="D37" s="15" t="inlineStr">
        <is>
          <t>Health</t>
        </is>
      </c>
      <c r="E37" s="15" t="inlineStr">
        <is>
          <t>Corporate</t>
        </is>
      </c>
      <c r="F37" s="15" t="inlineStr">
        <is>
          <t>Aug-2024</t>
        </is>
      </c>
      <c r="G37" s="14" t="n">
        <v>2800000</v>
      </c>
      <c r="H37" s="14" t="n">
        <v>53000</v>
      </c>
      <c r="I37" s="14" t="n">
        <v>77663</v>
      </c>
      <c r="J37" s="17" t="n">
        <v>0.2</v>
      </c>
      <c r="K37" s="15" t="inlineStr">
        <is>
          <t>Cancelled</t>
        </is>
      </c>
    </row>
    <row r="38">
      <c r="A38" s="7" t="inlineStr">
        <is>
          <t>ADM-MSC-ISB-2024-1033</t>
        </is>
      </c>
      <c r="B38" s="7" t="inlineStr">
        <is>
          <t>Islamabad Blue Area</t>
        </is>
      </c>
      <c r="C38" s="7" t="inlineStr">
        <is>
          <t>North</t>
        </is>
      </c>
      <c r="D38" s="7" t="inlineStr">
        <is>
          <t>Miscellaneous</t>
        </is>
      </c>
      <c r="E38" s="7" t="inlineStr">
        <is>
          <t>Direct</t>
        </is>
      </c>
      <c r="F38" s="7" t="inlineStr">
        <is>
          <t>Sep-2024</t>
        </is>
      </c>
      <c r="G38" s="11" t="n">
        <v>7500000</v>
      </c>
      <c r="H38" s="11" t="n">
        <v>134000</v>
      </c>
      <c r="I38" s="11" t="n">
        <v>126532</v>
      </c>
      <c r="J38" s="13" t="n">
        <v>0.125</v>
      </c>
      <c r="K38" s="7" t="inlineStr">
        <is>
          <t>Renewed</t>
        </is>
      </c>
    </row>
    <row r="39">
      <c r="A39" s="15" t="inlineStr">
        <is>
          <t>ADM-MAR-FSD-2024-1034</t>
        </is>
      </c>
      <c r="B39" s="15" t="inlineStr">
        <is>
          <t>Faisalabad</t>
        </is>
      </c>
      <c r="C39" s="15" t="inlineStr">
        <is>
          <t>Central</t>
        </is>
      </c>
      <c r="D39" s="15" t="inlineStr">
        <is>
          <t>Marine Cargo</t>
        </is>
      </c>
      <c r="E39" s="15" t="inlineStr">
        <is>
          <t>Agency</t>
        </is>
      </c>
      <c r="F39" s="15" t="inlineStr">
        <is>
          <t>Oct-2024</t>
        </is>
      </c>
      <c r="G39" s="14" t="n">
        <v>40000000</v>
      </c>
      <c r="H39" s="14" t="n">
        <v>460000</v>
      </c>
      <c r="I39" s="14" t="n">
        <v>187356</v>
      </c>
      <c r="J39" s="17" t="n">
        <v>0.175</v>
      </c>
      <c r="K39" s="15" t="inlineStr">
        <is>
          <t>Cancelled</t>
        </is>
      </c>
    </row>
    <row r="40">
      <c r="A40" s="7" t="inlineStr">
        <is>
          <t>ADM-ENG-MUL-2024-1035</t>
        </is>
      </c>
      <c r="B40" s="7" t="inlineStr">
        <is>
          <t>Multan</t>
        </is>
      </c>
      <c r="C40" s="7" t="inlineStr">
        <is>
          <t>Central</t>
        </is>
      </c>
      <c r="D40" s="7" t="inlineStr">
        <is>
          <t>Engineering</t>
        </is>
      </c>
      <c r="E40" s="7" t="inlineStr">
        <is>
          <t>Bancassurance</t>
        </is>
      </c>
      <c r="F40" s="7" t="inlineStr">
        <is>
          <t>Nov-2024</t>
        </is>
      </c>
      <c r="G40" s="11" t="n">
        <v>7500000</v>
      </c>
      <c r="H40" s="11" t="n">
        <v>102000</v>
      </c>
      <c r="I40" s="11" t="n">
        <v>94948</v>
      </c>
      <c r="J40" s="13" t="n">
        <v>0.175</v>
      </c>
      <c r="K40" s="7" t="inlineStr">
        <is>
          <t>Renewed</t>
        </is>
      </c>
    </row>
    <row r="41">
      <c r="A41" s="15" t="inlineStr">
        <is>
          <t>ADM-FIR-PEW-2024-1036</t>
        </is>
      </c>
      <c r="B41" s="15" t="inlineStr">
        <is>
          <t>Peshawar</t>
        </is>
      </c>
      <c r="C41" s="15" t="inlineStr">
        <is>
          <t>North</t>
        </is>
      </c>
      <c r="D41" s="15" t="inlineStr">
        <is>
          <t>Fire &amp; Property</t>
        </is>
      </c>
      <c r="E41" s="15" t="inlineStr">
        <is>
          <t>Corporate</t>
        </is>
      </c>
      <c r="F41" s="15" t="inlineStr">
        <is>
          <t>Dec-2024</t>
        </is>
      </c>
      <c r="G41" s="14" t="n">
        <v>4500000</v>
      </c>
      <c r="H41" s="14" t="n">
        <v>113000</v>
      </c>
      <c r="I41" s="14" t="n">
        <v>125166</v>
      </c>
      <c r="J41" s="17" t="n">
        <v>0.125</v>
      </c>
      <c r="K41" s="15" t="inlineStr">
        <is>
          <t>Active</t>
        </is>
      </c>
    </row>
    <row r="43">
      <c r="A43" s="9" t="inlineStr">
        <is>
          <t>Table B — Criteria</t>
        </is>
      </c>
    </row>
    <row r="44" ht="30" customHeight="1">
      <c r="A44" s="10" t="inlineStr">
        <is>
          <t>Criteria</t>
        </is>
      </c>
      <c r="B44" s="10" t="inlineStr">
        <is>
          <t>Value</t>
        </is>
      </c>
    </row>
    <row r="45">
      <c r="A45" s="7" t="inlineStr">
        <is>
          <t>Region</t>
        </is>
      </c>
      <c r="B45" s="7" t="inlineStr">
        <is>
          <t>Central</t>
        </is>
      </c>
    </row>
    <row r="46">
      <c r="A46" s="15" t="inlineStr">
        <is>
          <t>Product</t>
        </is>
      </c>
      <c r="B46" s="15" t="inlineStr">
        <is>
          <t>Motor</t>
        </is>
      </c>
    </row>
    <row r="47">
      <c r="A47" s="7" t="inlineStr">
        <is>
          <t>Channel</t>
        </is>
      </c>
      <c r="B47" s="7" t="inlineStr">
        <is>
          <t>Direct</t>
        </is>
      </c>
    </row>
    <row r="48">
      <c r="A48" s="15" t="inlineStr">
        <is>
          <t>Status</t>
        </is>
      </c>
      <c r="B48" s="15" t="inlineStr">
        <is>
          <t>Active</t>
        </is>
      </c>
    </row>
    <row r="49">
      <c r="A49" s="7" t="inlineStr">
        <is>
          <t>Premium threshold (PKR)</t>
        </is>
      </c>
      <c r="B49" s="43" t="n">
        <v>250000</v>
      </c>
    </row>
    <row r="51">
      <c r="A5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5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Portfolio Weighted Average Rate for the reinsurance submission</t>
        </is>
      </c>
    </row>
    <row r="3">
      <c r="A3" s="21" t="inlineStr">
        <is>
          <t>Prepared for:</t>
        </is>
      </c>
      <c r="B3" s="22" t="inlineStr">
        <is>
          <t>Head of Reinsurance</t>
        </is>
      </c>
    </row>
    <row r="4">
      <c r="A4" s="21" t="inlineStr">
        <is>
          <t>Prepared by:</t>
        </is>
      </c>
      <c r="B4" s="23" t="n"/>
    </row>
    <row r="5">
      <c r="A5" s="21" t="inlineStr">
        <is>
          <t>Reporting date:</t>
        </is>
      </c>
      <c r="B5" s="22" t="inlineStr">
        <is>
          <t>As at reporting date shown on the dataset</t>
        </is>
      </c>
    </row>
    <row r="7" ht="44" customHeight="1">
      <c r="A7" s="24" t="inlineStr">
        <is>
          <t>The treaty renewal submission must show the portfolio's weighted average rate. Last year a simple average of the individual policy rates was submitted, which overweighted hundreds of small personal policies and understated the rate the reinsurer was actually being asked to accept. The reinsurer's actuary found it.</t>
        </is>
      </c>
    </row>
    <row r="9">
      <c r="A9" s="25" t="inlineStr">
        <is>
          <t>Source data: '2.9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Portfolio Weighted Average Rate for the reinsurance submission</t>
        </is>
      </c>
      <c r="C13" s="38" t="inlineStr">
        <is>
          <t>A rate schedule: Total Sum Insured | Total Gross Premium | Weighted Average Rate | Simple Average Rate | Difference. Rates shown to three decimal places with a one-line note on which is correct for the submission.</t>
        </is>
      </c>
      <c r="D13" s="37" t="inlineStr">
        <is>
          <t>Head of Reinsurance</t>
        </is>
      </c>
      <c r="E13" s="31" t="n"/>
    </row>
    <row r="14" ht="65" customHeight="1">
      <c r="A14" s="35" t="n">
        <v>2</v>
      </c>
      <c r="B14" s="36" t="inlineStr">
        <is>
          <t>Regional segment figures without array entry</t>
        </is>
      </c>
      <c r="C14" s="38" t="inlineStr">
        <is>
          <t>A segment block for the selected region and product: Total Premium | Policy Count | Average Premium | Overall Loss Ratio. Every figure built without Ctrl+Shift+Enter so it survives being copied anywhere.</t>
        </is>
      </c>
      <c r="D14" s="37" t="inlineStr">
        <is>
          <t>Head of MIS</t>
        </is>
      </c>
      <c r="E14" s="31" t="n"/>
    </row>
    <row r="15" ht="52" customHeight="1">
      <c r="A15" s="35" t="n">
        <v>3</v>
      </c>
      <c r="B15" s="36" t="inlineStr">
        <is>
          <t>Personal lines exposure with an OR condition</t>
        </is>
      </c>
      <c r="C15" s="38" t="inlineStr">
        <is>
          <t>A personal lines figure combining the selected products, built so that adding a third product means adding one condition rather than rewriting the formula.</t>
        </is>
      </c>
      <c r="D15" s="37" t="inlineStr">
        <is>
          <t>Chief Underwriting Officer</t>
        </is>
      </c>
      <c r="E15" s="31" t="n"/>
    </row>
    <row r="16" ht="52" customHeight="1">
      <c r="A16" s="35" t="n">
        <v>4</v>
      </c>
      <c r="B16" s="36" t="inlineStr">
        <is>
          <t>Defect report on the mismatched range</t>
        </is>
      </c>
      <c r="C16" s="38" t="inlineStr">
        <is>
          <t>A defect note: reproduce the error by pointing one condition at a range of a different size, record what Excel returns, and state the rule that prevents it recurring.</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54.xml><?xml version="1.0" encoding="utf-8"?>
<worksheet xmlns="http://schemas.openxmlformats.org/spreadsheetml/2006/main">
  <sheetPr>
    <tabColor rgb="001F3864"/>
    <outlinePr summaryBelow="1" summaryRight="1"/>
    <pageSetUpPr/>
  </sheetPr>
  <dimension ref="A1:J52"/>
  <sheetViews>
    <sheetView showGridLines="0" workbookViewId="0">
      <pane ySplit="5" topLeftCell="A6" activePane="bottomLeft" state="frozen"/>
      <selection pane="bottomLeft" activeCell="A1" sqref="A1"/>
    </sheetView>
  </sheetViews>
  <sheetFormatPr baseColWidth="8" defaultRowHeight="15"/>
  <cols>
    <col width="24" customWidth="1" min="1" max="1"/>
    <col width="20" customWidth="1" min="2" max="2"/>
    <col width="20" customWidth="1" min="3" max="3"/>
    <col width="12" customWidth="1" min="4" max="4"/>
    <col width="18" customWidth="1" min="5" max="5"/>
    <col width="16" customWidth="1" min="6" max="6"/>
    <col width="14" customWidth="1" min="7" max="7"/>
    <col width="20" customWidth="1" min="8" max="8"/>
    <col width="20" customWidth="1" min="9" max="9"/>
    <col width="14" customWidth="1" min="10" max="10"/>
  </cols>
  <sheetData>
    <row r="1" ht="26" customHeight="1">
      <c r="A1" s="1" t="inlineStr">
        <is>
          <t>Dataset 2.10  —  SUMIFS, COUNTIFS, AVERAGEIFS (Multiple Criteria)</t>
        </is>
      </c>
    </row>
    <row r="2" ht="16" customHeight="1">
      <c r="A2" s="2" t="inlineStr">
        <is>
          <t>Session 2: Array Formulas, Advanced Logic &amp; Named Ranges | Part B: Advanced Logical and Math Functions   |   Adamjee Assurance Company Limited (Pakistan) — training data, figures in PKR</t>
        </is>
      </c>
    </row>
    <row r="4">
      <c r="A4" s="9" t="inlineStr">
        <is>
          <t>Table A — Transaction register 2024</t>
        </is>
      </c>
    </row>
    <row r="5" ht="30" customHeight="1">
      <c r="A5" s="10" t="inlineStr">
        <is>
          <t>Policy No</t>
        </is>
      </c>
      <c r="B5" s="10" t="inlineStr">
        <is>
          <t>Client Name</t>
        </is>
      </c>
      <c r="C5" s="10" t="inlineStr">
        <is>
          <t>Branch</t>
        </is>
      </c>
      <c r="D5" s="10" t="inlineStr">
        <is>
          <t>Region</t>
        </is>
      </c>
      <c r="E5" s="10" t="inlineStr">
        <is>
          <t>Product</t>
        </is>
      </c>
      <c r="F5" s="10" t="inlineStr">
        <is>
          <t>Channel</t>
        </is>
      </c>
      <c r="G5" s="10" t="inlineStr">
        <is>
          <t>Booking Date</t>
        </is>
      </c>
      <c r="H5" s="10" t="inlineStr">
        <is>
          <t>Gross Premium (PKR)</t>
        </is>
      </c>
      <c r="I5" s="10" t="inlineStr">
        <is>
          <t>Claims Paid (PKR)</t>
        </is>
      </c>
      <c r="J5" s="10" t="inlineStr">
        <is>
          <t>Policy Status</t>
        </is>
      </c>
    </row>
    <row r="6">
      <c r="A6" s="7" t="inlineStr">
        <is>
          <t>ADM-FIR-KHI-2024-1001</t>
        </is>
      </c>
      <c r="B6" s="7" t="inlineStr">
        <is>
          <t>Gul Ahmed Textile Mills Ltd</t>
        </is>
      </c>
      <c r="C6" s="7" t="inlineStr">
        <is>
          <t>Karachi Main</t>
        </is>
      </c>
      <c r="D6" s="7" t="inlineStr">
        <is>
          <t>South</t>
        </is>
      </c>
      <c r="E6" s="7" t="inlineStr">
        <is>
          <t>Fire &amp; Property</t>
        </is>
      </c>
      <c r="F6" s="7" t="inlineStr">
        <is>
          <t>Direct</t>
        </is>
      </c>
      <c r="G6" s="40" t="n">
        <v>45293</v>
      </c>
      <c r="H6" s="11" t="n">
        <v>96000</v>
      </c>
      <c r="I6" s="11" t="n">
        <v>96262</v>
      </c>
      <c r="J6" s="7" t="inlineStr">
        <is>
          <t>Active</t>
        </is>
      </c>
    </row>
    <row r="7">
      <c r="A7" s="15" t="inlineStr">
        <is>
          <t>ADM-TRV-LHR-2024-1002</t>
        </is>
      </c>
      <c r="B7" s="15" t="inlineStr">
        <is>
          <t>Packages Limited</t>
        </is>
      </c>
      <c r="C7" s="15" t="inlineStr">
        <is>
          <t>Lahore Gulberg</t>
        </is>
      </c>
      <c r="D7" s="15" t="inlineStr">
        <is>
          <t>Central</t>
        </is>
      </c>
      <c r="E7" s="15" t="inlineStr">
        <is>
          <t>Travel</t>
        </is>
      </c>
      <c r="F7" s="15" t="inlineStr">
        <is>
          <t>Agency</t>
        </is>
      </c>
      <c r="G7" s="41" t="n">
        <v>45325</v>
      </c>
      <c r="H7" s="14" t="n">
        <v>201000</v>
      </c>
      <c r="I7" s="14" t="n">
        <v>111595</v>
      </c>
      <c r="J7" s="15" t="inlineStr">
        <is>
          <t>Active</t>
        </is>
      </c>
    </row>
    <row r="8">
      <c r="A8" s="7" t="inlineStr">
        <is>
          <t>ADM-MTR-ISB-2024-1003</t>
        </is>
      </c>
      <c r="B8" s="7" t="inlineStr">
        <is>
          <t>Lucky Cement Limited</t>
        </is>
      </c>
      <c r="C8" s="7" t="inlineStr">
        <is>
          <t>Islamabad Blue Area</t>
        </is>
      </c>
      <c r="D8" s="7" t="inlineStr">
        <is>
          <t>North</t>
        </is>
      </c>
      <c r="E8" s="7" t="inlineStr">
        <is>
          <t>Motor</t>
        </is>
      </c>
      <c r="F8" s="7" t="inlineStr">
        <is>
          <t>Bancassurance</t>
        </is>
      </c>
      <c r="G8" s="40" t="n">
        <v>45355</v>
      </c>
      <c r="H8" s="11" t="n">
        <v>1397000</v>
      </c>
      <c r="I8" s="11" t="n">
        <v>1436098</v>
      </c>
      <c r="J8" s="7" t="inlineStr">
        <is>
          <t>Active</t>
        </is>
      </c>
    </row>
    <row r="9">
      <c r="A9" s="15" t="inlineStr">
        <is>
          <t>ADM-HLT-FSD-2024-1004</t>
        </is>
      </c>
      <c r="B9" s="15" t="inlineStr">
        <is>
          <t>Attock Refinery Limited</t>
        </is>
      </c>
      <c r="C9" s="15" t="inlineStr">
        <is>
          <t>Faisalabad</t>
        </is>
      </c>
      <c r="D9" s="15" t="inlineStr">
        <is>
          <t>Central</t>
        </is>
      </c>
      <c r="E9" s="15" t="inlineStr">
        <is>
          <t>Health</t>
        </is>
      </c>
      <c r="F9" s="15" t="inlineStr">
        <is>
          <t>Corporate</t>
        </is>
      </c>
      <c r="G9" s="41" t="n">
        <v>45387</v>
      </c>
      <c r="H9" s="14" t="n">
        <v>305000</v>
      </c>
      <c r="I9" s="14" t="n">
        <v>185930</v>
      </c>
      <c r="J9" s="15" t="inlineStr">
        <is>
          <t>Cancelled</t>
        </is>
      </c>
    </row>
    <row r="10">
      <c r="A10" s="7" t="inlineStr">
        <is>
          <t>ADM-MSC-MUL-2024-1005</t>
        </is>
      </c>
      <c r="B10" s="7" t="inlineStr">
        <is>
          <t>Descon Engineering Ltd</t>
        </is>
      </c>
      <c r="C10" s="7" t="inlineStr">
        <is>
          <t>Multan</t>
        </is>
      </c>
      <c r="D10" s="7" t="inlineStr">
        <is>
          <t>Central</t>
        </is>
      </c>
      <c r="E10" s="7" t="inlineStr">
        <is>
          <t>Miscellaneous</t>
        </is>
      </c>
      <c r="F10" s="7" t="inlineStr">
        <is>
          <t>Direct</t>
        </is>
      </c>
      <c r="G10" s="40" t="n">
        <v>45418</v>
      </c>
      <c r="H10" s="11" t="n">
        <v>75000</v>
      </c>
      <c r="I10" s="11" t="n">
        <v>44061</v>
      </c>
      <c r="J10" s="7" t="inlineStr">
        <is>
          <t>Active</t>
        </is>
      </c>
    </row>
    <row r="11">
      <c r="A11" s="15" t="inlineStr">
        <is>
          <t>ADM-MAR-PEW-2024-1006</t>
        </is>
      </c>
      <c r="B11" s="15" t="inlineStr">
        <is>
          <t>Fauji Fertilizer Company</t>
        </is>
      </c>
      <c r="C11" s="15" t="inlineStr">
        <is>
          <t>Peshawar</t>
        </is>
      </c>
      <c r="D11" s="15" t="inlineStr">
        <is>
          <t>North</t>
        </is>
      </c>
      <c r="E11" s="15" t="inlineStr">
        <is>
          <t>Marine Cargo</t>
        </is>
      </c>
      <c r="F11" s="15" t="inlineStr">
        <is>
          <t>Agency</t>
        </is>
      </c>
      <c r="G11" s="41" t="n">
        <v>45450</v>
      </c>
      <c r="H11" s="14" t="n">
        <v>380000</v>
      </c>
      <c r="I11" s="14" t="n">
        <v>91249</v>
      </c>
      <c r="J11" s="15" t="inlineStr">
        <is>
          <t>Active</t>
        </is>
      </c>
    </row>
    <row r="12">
      <c r="A12" s="7" t="inlineStr">
        <is>
          <t>ADM-ENG-QTA-2024-1007</t>
        </is>
      </c>
      <c r="B12" s="7" t="inlineStr">
        <is>
          <t>Indus Motor Company Ltd</t>
        </is>
      </c>
      <c r="C12" s="7" t="inlineStr">
        <is>
          <t>Quetta</t>
        </is>
      </c>
      <c r="D12" s="7" t="inlineStr">
        <is>
          <t>South</t>
        </is>
      </c>
      <c r="E12" s="7" t="inlineStr">
        <is>
          <t>Engineering</t>
        </is>
      </c>
      <c r="F12" s="7" t="inlineStr">
        <is>
          <t>Bancassurance</t>
        </is>
      </c>
      <c r="G12" s="40" t="n">
        <v>45481</v>
      </c>
      <c r="H12" s="11" t="n">
        <v>227000</v>
      </c>
      <c r="I12" s="11" t="n">
        <v>78775</v>
      </c>
      <c r="J12" s="7" t="inlineStr">
        <is>
          <t>Active</t>
        </is>
      </c>
    </row>
    <row r="13">
      <c r="A13" s="15" t="inlineStr">
        <is>
          <t>ADM-FIR-HYD-2024-1008</t>
        </is>
      </c>
      <c r="B13" s="15" t="inlineStr">
        <is>
          <t>Nishat Mills Limited</t>
        </is>
      </c>
      <c r="C13" s="15" t="inlineStr">
        <is>
          <t>Hyderabad</t>
        </is>
      </c>
      <c r="D13" s="15" t="inlineStr">
        <is>
          <t>South</t>
        </is>
      </c>
      <c r="E13" s="15" t="inlineStr">
        <is>
          <t>Fire &amp; Property</t>
        </is>
      </c>
      <c r="F13" s="15" t="inlineStr">
        <is>
          <t>Corporate</t>
        </is>
      </c>
      <c r="G13" s="41" t="n">
        <v>45513</v>
      </c>
      <c r="H13" s="14" t="n">
        <v>290000</v>
      </c>
      <c r="I13" s="14" t="n">
        <v>249183</v>
      </c>
      <c r="J13" s="15" t="inlineStr">
        <is>
          <t>Renewed</t>
        </is>
      </c>
    </row>
    <row r="14">
      <c r="A14" s="7" t="inlineStr">
        <is>
          <t>ADM-TRV-SKT-2024-1009</t>
        </is>
      </c>
      <c r="B14" s="7" t="inlineStr">
        <is>
          <t>Pak Suzuki Motor Co</t>
        </is>
      </c>
      <c r="C14" s="7" t="inlineStr">
        <is>
          <t>Sialkot</t>
        </is>
      </c>
      <c r="D14" s="7" t="inlineStr">
        <is>
          <t>Central</t>
        </is>
      </c>
      <c r="E14" s="7" t="inlineStr">
        <is>
          <t>Travel</t>
        </is>
      </c>
      <c r="F14" s="7" t="inlineStr">
        <is>
          <t>Direct</t>
        </is>
      </c>
      <c r="G14" s="40" t="n">
        <v>45545</v>
      </c>
      <c r="H14" s="11" t="n">
        <v>37000</v>
      </c>
      <c r="I14" s="11" t="n">
        <v>48145</v>
      </c>
      <c r="J14" s="7" t="inlineStr">
        <is>
          <t>Active</t>
        </is>
      </c>
    </row>
    <row r="15">
      <c r="A15" s="15" t="inlineStr">
        <is>
          <t>ADM-MTR-RWP-2024-1010</t>
        </is>
      </c>
      <c r="B15" s="15" t="inlineStr">
        <is>
          <t>Engro Polymer &amp; Chemicals</t>
        </is>
      </c>
      <c r="C15" s="15" t="inlineStr">
        <is>
          <t>Rawalpindi</t>
        </is>
      </c>
      <c r="D15" s="15" t="inlineStr">
        <is>
          <t>North</t>
        </is>
      </c>
      <c r="E15" s="15" t="inlineStr">
        <is>
          <t>Motor</t>
        </is>
      </c>
      <c r="F15" s="15" t="inlineStr">
        <is>
          <t>Agency</t>
        </is>
      </c>
      <c r="G15" s="41" t="n">
        <v>45576</v>
      </c>
      <c r="H15" s="14" t="n">
        <v>760000</v>
      </c>
      <c r="I15" s="14" t="n">
        <v>162016</v>
      </c>
      <c r="J15" s="15" t="inlineStr">
        <is>
          <t>Cancelled</t>
        </is>
      </c>
    </row>
    <row r="16">
      <c r="A16" s="7" t="inlineStr">
        <is>
          <t>ADM-HLT-KHI-2024-1011</t>
        </is>
      </c>
      <c r="B16" s="7" t="inlineStr">
        <is>
          <t>Interloop Limited</t>
        </is>
      </c>
      <c r="C16" s="7" t="inlineStr">
        <is>
          <t>Karachi Main</t>
        </is>
      </c>
      <c r="D16" s="7" t="inlineStr">
        <is>
          <t>South</t>
        </is>
      </c>
      <c r="E16" s="7" t="inlineStr">
        <is>
          <t>Health</t>
        </is>
      </c>
      <c r="F16" s="7" t="inlineStr">
        <is>
          <t>Bancassurance</t>
        </is>
      </c>
      <c r="G16" s="40" t="n">
        <v>45608</v>
      </c>
      <c r="H16" s="11" t="n">
        <v>603000</v>
      </c>
      <c r="I16" s="11" t="n">
        <v>595704</v>
      </c>
      <c r="J16" s="7" t="inlineStr">
        <is>
          <t>Active</t>
        </is>
      </c>
    </row>
    <row r="17">
      <c r="A17" s="15" t="inlineStr">
        <is>
          <t>ADM-MSC-LHR-2024-1012</t>
        </is>
      </c>
      <c r="B17" s="15" t="inlineStr">
        <is>
          <t>Service Industries Ltd</t>
        </is>
      </c>
      <c r="C17" s="15" t="inlineStr">
        <is>
          <t>Lahore Gulberg</t>
        </is>
      </c>
      <c r="D17" s="15" t="inlineStr">
        <is>
          <t>Central</t>
        </is>
      </c>
      <c r="E17" s="15" t="inlineStr">
        <is>
          <t>Miscellaneous</t>
        </is>
      </c>
      <c r="F17" s="15" t="inlineStr">
        <is>
          <t>Corporate</t>
        </is>
      </c>
      <c r="G17" s="41" t="n">
        <v>45639</v>
      </c>
      <c r="H17" s="14" t="n">
        <v>512000</v>
      </c>
      <c r="I17" s="14" t="n">
        <v>394713</v>
      </c>
      <c r="J17" s="15" t="inlineStr">
        <is>
          <t>Active</t>
        </is>
      </c>
    </row>
    <row r="18">
      <c r="A18" s="7" t="inlineStr">
        <is>
          <t>ADM-MAR-ISB-2024-1013</t>
        </is>
      </c>
      <c r="B18" s="7" t="inlineStr">
        <is>
          <t>Millat Tractors Limited</t>
        </is>
      </c>
      <c r="C18" s="7" t="inlineStr">
        <is>
          <t>Islamabad Blue Area</t>
        </is>
      </c>
      <c r="D18" s="7" t="inlineStr">
        <is>
          <t>North</t>
        </is>
      </c>
      <c r="E18" s="7" t="inlineStr">
        <is>
          <t>Marine Cargo</t>
        </is>
      </c>
      <c r="F18" s="7" t="inlineStr">
        <is>
          <t>Direct</t>
        </is>
      </c>
      <c r="G18" s="40" t="n">
        <v>45305</v>
      </c>
      <c r="H18" s="11" t="n">
        <v>2169000</v>
      </c>
      <c r="I18" s="11" t="n">
        <v>2687419</v>
      </c>
      <c r="J18" s="7" t="inlineStr">
        <is>
          <t>Active</t>
        </is>
      </c>
    </row>
    <row r="19">
      <c r="A19" s="15" t="inlineStr">
        <is>
          <t>ADM-ENG-FSD-2024-1014</t>
        </is>
      </c>
      <c r="B19" s="15" t="inlineStr">
        <is>
          <t>K-Electric Limited</t>
        </is>
      </c>
      <c r="C19" s="15" t="inlineStr">
        <is>
          <t>Faisalabad</t>
        </is>
      </c>
      <c r="D19" s="15" t="inlineStr">
        <is>
          <t>Central</t>
        </is>
      </c>
      <c r="E19" s="15" t="inlineStr">
        <is>
          <t>Engineering</t>
        </is>
      </c>
      <c r="F19" s="15" t="inlineStr">
        <is>
          <t>Agency</t>
        </is>
      </c>
      <c r="G19" s="41" t="n">
        <v>45337</v>
      </c>
      <c r="H19" s="14" t="n">
        <v>1089000</v>
      </c>
      <c r="I19" s="14" t="n">
        <v>1020517</v>
      </c>
      <c r="J19" s="15" t="inlineStr">
        <is>
          <t>Active</t>
        </is>
      </c>
    </row>
    <row r="20">
      <c r="A20" s="7" t="inlineStr">
        <is>
          <t>ADM-FIR-MUL-2024-1015</t>
        </is>
      </c>
      <c r="B20" s="7" t="inlineStr">
        <is>
          <t>Hascol Petroleum Ltd</t>
        </is>
      </c>
      <c r="C20" s="7" t="inlineStr">
        <is>
          <t>Multan</t>
        </is>
      </c>
      <c r="D20" s="7" t="inlineStr">
        <is>
          <t>Central</t>
        </is>
      </c>
      <c r="E20" s="7" t="inlineStr">
        <is>
          <t>Fire &amp; Property</t>
        </is>
      </c>
      <c r="F20" s="7" t="inlineStr">
        <is>
          <t>Bancassurance</t>
        </is>
      </c>
      <c r="G20" s="40" t="n">
        <v>45367</v>
      </c>
      <c r="H20" s="11" t="n">
        <v>484000</v>
      </c>
      <c r="I20" s="11" t="n">
        <v>575693</v>
      </c>
      <c r="J20" s="7" t="inlineStr">
        <is>
          <t>Cancelled</t>
        </is>
      </c>
    </row>
    <row r="21">
      <c r="A21" s="15" t="inlineStr">
        <is>
          <t>ADM-TRV-PEW-2024-1016</t>
        </is>
      </c>
      <c r="B21" s="15" t="inlineStr">
        <is>
          <t>Sapphire Fibres Limited</t>
        </is>
      </c>
      <c r="C21" s="15" t="inlineStr">
        <is>
          <t>Peshawar</t>
        </is>
      </c>
      <c r="D21" s="15" t="inlineStr">
        <is>
          <t>North</t>
        </is>
      </c>
      <c r="E21" s="15" t="inlineStr">
        <is>
          <t>Travel</t>
        </is>
      </c>
      <c r="F21" s="15" t="inlineStr">
        <is>
          <t>Corporate</t>
        </is>
      </c>
      <c r="G21" s="41" t="n">
        <v>45399</v>
      </c>
      <c r="H21" s="14" t="n">
        <v>74000</v>
      </c>
      <c r="I21" s="14" t="n">
        <v>114737</v>
      </c>
      <c r="J21" s="15" t="inlineStr">
        <is>
          <t>Active</t>
        </is>
      </c>
    </row>
    <row r="22">
      <c r="A22" s="7" t="inlineStr">
        <is>
          <t>ADM-MTR-QTA-2024-1017</t>
        </is>
      </c>
      <c r="B22" s="7" t="inlineStr">
        <is>
          <t>Archroma Pakistan Ltd</t>
        </is>
      </c>
      <c r="C22" s="7" t="inlineStr">
        <is>
          <t>Quetta</t>
        </is>
      </c>
      <c r="D22" s="7" t="inlineStr">
        <is>
          <t>South</t>
        </is>
      </c>
      <c r="E22" s="7" t="inlineStr">
        <is>
          <t>Motor</t>
        </is>
      </c>
      <c r="F22" s="7" t="inlineStr">
        <is>
          <t>Direct</t>
        </is>
      </c>
      <c r="G22" s="40" t="n">
        <v>45430</v>
      </c>
      <c r="H22" s="11" t="n">
        <v>835000</v>
      </c>
      <c r="I22" s="11" t="n">
        <v>672109</v>
      </c>
      <c r="J22" s="7" t="inlineStr">
        <is>
          <t>Active</t>
        </is>
      </c>
    </row>
    <row r="23">
      <c r="A23" s="15" t="inlineStr">
        <is>
          <t>ADM-HLT-HYD-2024-1018</t>
        </is>
      </c>
      <c r="B23" s="15" t="inlineStr">
        <is>
          <t>National Foods Limited</t>
        </is>
      </c>
      <c r="C23" s="15" t="inlineStr">
        <is>
          <t>Hyderabad</t>
        </is>
      </c>
      <c r="D23" s="15" t="inlineStr">
        <is>
          <t>South</t>
        </is>
      </c>
      <c r="E23" s="15" t="inlineStr">
        <is>
          <t>Health</t>
        </is>
      </c>
      <c r="F23" s="15" t="inlineStr">
        <is>
          <t>Agency</t>
        </is>
      </c>
      <c r="G23" s="41" t="n">
        <v>45462</v>
      </c>
      <c r="H23" s="14" t="n">
        <v>174000</v>
      </c>
      <c r="I23" s="14" t="n">
        <v>259300</v>
      </c>
      <c r="J23" s="15" t="inlineStr">
        <is>
          <t>Cancelled</t>
        </is>
      </c>
    </row>
    <row r="24">
      <c r="A24" s="7" t="inlineStr">
        <is>
          <t>ADM-MSC-SKT-2024-1019</t>
        </is>
      </c>
      <c r="B24" s="7" t="inlineStr">
        <is>
          <t>Searle Pakistan Limited</t>
        </is>
      </c>
      <c r="C24" s="7" t="inlineStr">
        <is>
          <t>Sialkot</t>
        </is>
      </c>
      <c r="D24" s="7" t="inlineStr">
        <is>
          <t>Central</t>
        </is>
      </c>
      <c r="E24" s="7" t="inlineStr">
        <is>
          <t>Miscellaneous</t>
        </is>
      </c>
      <c r="F24" s="7" t="inlineStr">
        <is>
          <t>Bancassurance</t>
        </is>
      </c>
      <c r="G24" s="40" t="n">
        <v>45493</v>
      </c>
      <c r="H24" s="11" t="n">
        <v>927000</v>
      </c>
      <c r="I24" s="11" t="n">
        <v>505938</v>
      </c>
      <c r="J24" s="7" t="inlineStr">
        <is>
          <t>Renewed</t>
        </is>
      </c>
    </row>
    <row r="25">
      <c r="A25" s="15" t="inlineStr">
        <is>
          <t>ADM-MAR-RWP-2024-1020</t>
        </is>
      </c>
      <c r="B25" s="15" t="inlineStr">
        <is>
          <t>Thal Limited</t>
        </is>
      </c>
      <c r="C25" s="15" t="inlineStr">
        <is>
          <t>Rawalpindi</t>
        </is>
      </c>
      <c r="D25" s="15" t="inlineStr">
        <is>
          <t>North</t>
        </is>
      </c>
      <c r="E25" s="15" t="inlineStr">
        <is>
          <t>Marine Cargo</t>
        </is>
      </c>
      <c r="F25" s="15" t="inlineStr">
        <is>
          <t>Corporate</t>
        </is>
      </c>
      <c r="G25" s="41" t="n">
        <v>45525</v>
      </c>
      <c r="H25" s="14" t="n">
        <v>181000</v>
      </c>
      <c r="I25" s="14" t="n">
        <v>181691</v>
      </c>
      <c r="J25" s="15" t="inlineStr">
        <is>
          <t>Active</t>
        </is>
      </c>
    </row>
    <row r="26">
      <c r="A26" s="7" t="inlineStr">
        <is>
          <t>ADM-ENG-KHI-2024-1021</t>
        </is>
      </c>
      <c r="B26" s="7" t="inlineStr">
        <is>
          <t>Ahmed Raza Qureshi</t>
        </is>
      </c>
      <c r="C26" s="7" t="inlineStr">
        <is>
          <t>Karachi Main</t>
        </is>
      </c>
      <c r="D26" s="7" t="inlineStr">
        <is>
          <t>South</t>
        </is>
      </c>
      <c r="E26" s="7" t="inlineStr">
        <is>
          <t>Engineering</t>
        </is>
      </c>
      <c r="F26" s="7" t="inlineStr">
        <is>
          <t>Direct</t>
        </is>
      </c>
      <c r="G26" s="40" t="n">
        <v>45557</v>
      </c>
      <c r="H26" s="11" t="n">
        <v>78000</v>
      </c>
      <c r="I26" s="11" t="n">
        <v>32635</v>
      </c>
      <c r="J26" s="7" t="inlineStr">
        <is>
          <t>Lapsed</t>
        </is>
      </c>
    </row>
    <row r="27">
      <c r="A27" s="15" t="inlineStr">
        <is>
          <t>ADM-FIR-LHR-2024-1022</t>
        </is>
      </c>
      <c r="B27" s="15" t="inlineStr">
        <is>
          <t>Fatima Siddiqui</t>
        </is>
      </c>
      <c r="C27" s="15" t="inlineStr">
        <is>
          <t>Lahore Gulberg</t>
        </is>
      </c>
      <c r="D27" s="15" t="inlineStr">
        <is>
          <t>Central</t>
        </is>
      </c>
      <c r="E27" s="15" t="inlineStr">
        <is>
          <t>Fire &amp; Property</t>
        </is>
      </c>
      <c r="F27" s="15" t="inlineStr">
        <is>
          <t>Agency</t>
        </is>
      </c>
      <c r="G27" s="41" t="n">
        <v>45588</v>
      </c>
      <c r="H27" s="14" t="n">
        <v>368000</v>
      </c>
      <c r="I27" s="14" t="n">
        <v>117086</v>
      </c>
      <c r="J27" s="15" t="inlineStr">
        <is>
          <t>Renewed</t>
        </is>
      </c>
    </row>
    <row r="28">
      <c r="A28" s="7" t="inlineStr">
        <is>
          <t>ADM-TRV-ISB-2024-1023</t>
        </is>
      </c>
      <c r="B28" s="7" t="inlineStr">
        <is>
          <t>Bilal Ahmed Khan</t>
        </is>
      </c>
      <c r="C28" s="7" t="inlineStr">
        <is>
          <t>Islamabad Blue Area</t>
        </is>
      </c>
      <c r="D28" s="7" t="inlineStr">
        <is>
          <t>North</t>
        </is>
      </c>
      <c r="E28" s="7" t="inlineStr">
        <is>
          <t>Travel</t>
        </is>
      </c>
      <c r="F28" s="7" t="inlineStr">
        <is>
          <t>Bancassurance</t>
        </is>
      </c>
      <c r="G28" s="40" t="n">
        <v>45620</v>
      </c>
      <c r="H28" s="11" t="n">
        <v>1586000</v>
      </c>
      <c r="I28" s="11" t="n">
        <v>625762</v>
      </c>
      <c r="J28" s="7" t="inlineStr">
        <is>
          <t>Active</t>
        </is>
      </c>
    </row>
    <row r="29">
      <c r="A29" s="15" t="inlineStr">
        <is>
          <t>ADM-MTR-FSD-2024-1024</t>
        </is>
      </c>
      <c r="B29" s="15" t="inlineStr">
        <is>
          <t>Ayesha Tariq</t>
        </is>
      </c>
      <c r="C29" s="15" t="inlineStr">
        <is>
          <t>Faisalabad</t>
        </is>
      </c>
      <c r="D29" s="15" t="inlineStr">
        <is>
          <t>Central</t>
        </is>
      </c>
      <c r="E29" s="15" t="inlineStr">
        <is>
          <t>Motor</t>
        </is>
      </c>
      <c r="F29" s="15" t="inlineStr">
        <is>
          <t>Corporate</t>
        </is>
      </c>
      <c r="G29" s="41" t="n">
        <v>45651</v>
      </c>
      <c r="H29" s="14" t="n">
        <v>2304000</v>
      </c>
      <c r="I29" s="14" t="n">
        <v>2938527</v>
      </c>
      <c r="J29" s="15" t="inlineStr">
        <is>
          <t>Renewed</t>
        </is>
      </c>
    </row>
    <row r="30">
      <c r="A30" s="7" t="inlineStr">
        <is>
          <t>ADM-HLT-MUL-2024-1025</t>
        </is>
      </c>
      <c r="B30" s="7" t="inlineStr">
        <is>
          <t>Usman Ghani Memon</t>
        </is>
      </c>
      <c r="C30" s="7" t="inlineStr">
        <is>
          <t>Multan</t>
        </is>
      </c>
      <c r="D30" s="7" t="inlineStr">
        <is>
          <t>Central</t>
        </is>
      </c>
      <c r="E30" s="7" t="inlineStr">
        <is>
          <t>Health</t>
        </is>
      </c>
      <c r="F30" s="7" t="inlineStr">
        <is>
          <t>Direct</t>
        </is>
      </c>
      <c r="G30" s="40" t="n">
        <v>45317</v>
      </c>
      <c r="H30" s="11" t="n">
        <v>19000</v>
      </c>
      <c r="I30" s="11" t="n">
        <v>28171</v>
      </c>
      <c r="J30" s="7" t="inlineStr">
        <is>
          <t>Lapsed</t>
        </is>
      </c>
    </row>
    <row r="31">
      <c r="A31" s="15" t="inlineStr">
        <is>
          <t>ADM-MSC-PEW-2024-1026</t>
        </is>
      </c>
      <c r="B31" s="15" t="inlineStr">
        <is>
          <t>Hina Farooq</t>
        </is>
      </c>
      <c r="C31" s="15" t="inlineStr">
        <is>
          <t>Peshawar</t>
        </is>
      </c>
      <c r="D31" s="15" t="inlineStr">
        <is>
          <t>North</t>
        </is>
      </c>
      <c r="E31" s="15" t="inlineStr">
        <is>
          <t>Miscellaneous</t>
        </is>
      </c>
      <c r="F31" s="15" t="inlineStr">
        <is>
          <t>Agency</t>
        </is>
      </c>
      <c r="G31" s="41" t="n">
        <v>45349</v>
      </c>
      <c r="H31" s="14" t="n">
        <v>193000</v>
      </c>
      <c r="I31" s="14" t="n">
        <v>17765</v>
      </c>
      <c r="J31" s="15" t="inlineStr">
        <is>
          <t>Active</t>
        </is>
      </c>
    </row>
    <row r="32">
      <c r="A32" s="7" t="inlineStr">
        <is>
          <t>ADM-MAR-QTA-2024-1027</t>
        </is>
      </c>
      <c r="B32" s="7" t="inlineStr">
        <is>
          <t>Kashif Mehmood</t>
        </is>
      </c>
      <c r="C32" s="7" t="inlineStr">
        <is>
          <t>Quetta</t>
        </is>
      </c>
      <c r="D32" s="7" t="inlineStr">
        <is>
          <t>South</t>
        </is>
      </c>
      <c r="E32" s="7" t="inlineStr">
        <is>
          <t>Marine Cargo</t>
        </is>
      </c>
      <c r="F32" s="7" t="inlineStr">
        <is>
          <t>Bancassurance</t>
        </is>
      </c>
      <c r="G32" s="40" t="n">
        <v>45353</v>
      </c>
      <c r="H32" s="11" t="n">
        <v>43000</v>
      </c>
      <c r="I32" s="11" t="n">
        <v>32814</v>
      </c>
      <c r="J32" s="7" t="inlineStr">
        <is>
          <t>Cancelled</t>
        </is>
      </c>
    </row>
    <row r="33">
      <c r="A33" s="15" t="inlineStr">
        <is>
          <t>ADM-ENG-HYD-2024-1028</t>
        </is>
      </c>
      <c r="B33" s="15" t="inlineStr">
        <is>
          <t>Sana Javed Butt</t>
        </is>
      </c>
      <c r="C33" s="15" t="inlineStr">
        <is>
          <t>Hyderabad</t>
        </is>
      </c>
      <c r="D33" s="15" t="inlineStr">
        <is>
          <t>South</t>
        </is>
      </c>
      <c r="E33" s="15" t="inlineStr">
        <is>
          <t>Engineering</t>
        </is>
      </c>
      <c r="F33" s="15" t="inlineStr">
        <is>
          <t>Corporate</t>
        </is>
      </c>
      <c r="G33" s="41" t="n">
        <v>45385</v>
      </c>
      <c r="H33" s="14" t="n">
        <v>27000</v>
      </c>
      <c r="I33" s="14" t="n">
        <v>22858</v>
      </c>
      <c r="J33" s="15" t="inlineStr">
        <is>
          <t>Active</t>
        </is>
      </c>
    </row>
    <row r="34">
      <c r="A34" s="7" t="inlineStr">
        <is>
          <t>ADM-FIR-SKT-2024-1029</t>
        </is>
      </c>
      <c r="B34" s="7" t="inlineStr">
        <is>
          <t>Imran Aslam Sheikh</t>
        </is>
      </c>
      <c r="C34" s="7" t="inlineStr">
        <is>
          <t>Sialkot</t>
        </is>
      </c>
      <c r="D34" s="7" t="inlineStr">
        <is>
          <t>Central</t>
        </is>
      </c>
      <c r="E34" s="7" t="inlineStr">
        <is>
          <t>Fire &amp; Property</t>
        </is>
      </c>
      <c r="F34" s="7" t="inlineStr">
        <is>
          <t>Direct</t>
        </is>
      </c>
      <c r="G34" s="40" t="n">
        <v>45416</v>
      </c>
      <c r="H34" s="11" t="n">
        <v>1527000</v>
      </c>
      <c r="I34" s="11" t="n">
        <v>181283</v>
      </c>
      <c r="J34" s="7" t="inlineStr">
        <is>
          <t>Cancelled</t>
        </is>
      </c>
    </row>
    <row r="35">
      <c r="A35" s="15" t="inlineStr">
        <is>
          <t>ADM-TRV-RWP-2024-1030</t>
        </is>
      </c>
      <c r="B35" s="15" t="inlineStr">
        <is>
          <t>Rabia Noor</t>
        </is>
      </c>
      <c r="C35" s="15" t="inlineStr">
        <is>
          <t>Rawalpindi</t>
        </is>
      </c>
      <c r="D35" s="15" t="inlineStr">
        <is>
          <t>North</t>
        </is>
      </c>
      <c r="E35" s="15" t="inlineStr">
        <is>
          <t>Travel</t>
        </is>
      </c>
      <c r="F35" s="15" t="inlineStr">
        <is>
          <t>Agency</t>
        </is>
      </c>
      <c r="G35" s="41" t="n">
        <v>45448</v>
      </c>
      <c r="H35" s="14" t="n">
        <v>594000</v>
      </c>
      <c r="I35" s="14" t="n">
        <v>713976</v>
      </c>
      <c r="J35" s="15" t="inlineStr">
        <is>
          <t>Lapsed</t>
        </is>
      </c>
    </row>
    <row r="36">
      <c r="A36" s="7" t="inlineStr">
        <is>
          <t>ADM-MTR-KHI-2024-1031</t>
        </is>
      </c>
      <c r="B36" s="7" t="inlineStr">
        <is>
          <t>Danish Iqbal</t>
        </is>
      </c>
      <c r="C36" s="7" t="inlineStr">
        <is>
          <t>Karachi Main</t>
        </is>
      </c>
      <c r="D36" s="7" t="inlineStr">
        <is>
          <t>South</t>
        </is>
      </c>
      <c r="E36" s="7" t="inlineStr">
        <is>
          <t>Motor</t>
        </is>
      </c>
      <c r="F36" s="7" t="inlineStr">
        <is>
          <t>Bancassurance</t>
        </is>
      </c>
      <c r="G36" s="40" t="n">
        <v>45479</v>
      </c>
      <c r="H36" s="11" t="n">
        <v>10000</v>
      </c>
      <c r="I36" s="11" t="n">
        <v>3023</v>
      </c>
      <c r="J36" s="7" t="inlineStr">
        <is>
          <t>Active</t>
        </is>
      </c>
    </row>
    <row r="37">
      <c r="A37" s="15" t="inlineStr">
        <is>
          <t>ADM-HLT-LHR-2024-1032</t>
        </is>
      </c>
      <c r="B37" s="15" t="inlineStr">
        <is>
          <t>Mehwish Anwar</t>
        </is>
      </c>
      <c r="C37" s="15" t="inlineStr">
        <is>
          <t>Lahore Gulberg</t>
        </is>
      </c>
      <c r="D37" s="15" t="inlineStr">
        <is>
          <t>Central</t>
        </is>
      </c>
      <c r="E37" s="15" t="inlineStr">
        <is>
          <t>Health</t>
        </is>
      </c>
      <c r="F37" s="15" t="inlineStr">
        <is>
          <t>Corporate</t>
        </is>
      </c>
      <c r="G37" s="41" t="n">
        <v>45511</v>
      </c>
      <c r="H37" s="14" t="n">
        <v>53000</v>
      </c>
      <c r="I37" s="14" t="n">
        <v>77663</v>
      </c>
      <c r="J37" s="15" t="inlineStr">
        <is>
          <t>Cancelled</t>
        </is>
      </c>
    </row>
    <row r="38">
      <c r="A38" s="7" t="inlineStr">
        <is>
          <t>ADM-MSC-ISB-2024-1033</t>
        </is>
      </c>
      <c r="B38" s="7" t="inlineStr">
        <is>
          <t>Zeeshan Haider</t>
        </is>
      </c>
      <c r="C38" s="7" t="inlineStr">
        <is>
          <t>Islamabad Blue Area</t>
        </is>
      </c>
      <c r="D38" s="7" t="inlineStr">
        <is>
          <t>North</t>
        </is>
      </c>
      <c r="E38" s="7" t="inlineStr">
        <is>
          <t>Miscellaneous</t>
        </is>
      </c>
      <c r="F38" s="7" t="inlineStr">
        <is>
          <t>Direct</t>
        </is>
      </c>
      <c r="G38" s="40" t="n">
        <v>45543</v>
      </c>
      <c r="H38" s="11" t="n">
        <v>134000</v>
      </c>
      <c r="I38" s="11" t="n">
        <v>126532</v>
      </c>
      <c r="J38" s="7" t="inlineStr">
        <is>
          <t>Renewed</t>
        </is>
      </c>
    </row>
    <row r="39">
      <c r="A39" s="15" t="inlineStr">
        <is>
          <t>ADM-MAR-FSD-2024-1034</t>
        </is>
      </c>
      <c r="B39" s="15" t="inlineStr">
        <is>
          <t>Noreen Akhtar</t>
        </is>
      </c>
      <c r="C39" s="15" t="inlineStr">
        <is>
          <t>Faisalabad</t>
        </is>
      </c>
      <c r="D39" s="15" t="inlineStr">
        <is>
          <t>Central</t>
        </is>
      </c>
      <c r="E39" s="15" t="inlineStr">
        <is>
          <t>Marine Cargo</t>
        </is>
      </c>
      <c r="F39" s="15" t="inlineStr">
        <is>
          <t>Agency</t>
        </is>
      </c>
      <c r="G39" s="41" t="n">
        <v>45574</v>
      </c>
      <c r="H39" s="14" t="n">
        <v>460000</v>
      </c>
      <c r="I39" s="14" t="n">
        <v>187356</v>
      </c>
      <c r="J39" s="15" t="inlineStr">
        <is>
          <t>Cancelled</t>
        </is>
      </c>
    </row>
    <row r="40">
      <c r="A40" s="7" t="inlineStr">
        <is>
          <t>ADM-ENG-MUL-2024-1035</t>
        </is>
      </c>
      <c r="B40" s="7" t="inlineStr">
        <is>
          <t>Adnan Shahid Malik</t>
        </is>
      </c>
      <c r="C40" s="7" t="inlineStr">
        <is>
          <t>Multan</t>
        </is>
      </c>
      <c r="D40" s="7" t="inlineStr">
        <is>
          <t>Central</t>
        </is>
      </c>
      <c r="E40" s="7" t="inlineStr">
        <is>
          <t>Engineering</t>
        </is>
      </c>
      <c r="F40" s="7" t="inlineStr">
        <is>
          <t>Bancassurance</t>
        </is>
      </c>
      <c r="G40" s="40" t="n">
        <v>45606</v>
      </c>
      <c r="H40" s="11" t="n">
        <v>102000</v>
      </c>
      <c r="I40" s="11" t="n">
        <v>94948</v>
      </c>
      <c r="J40" s="7" t="inlineStr">
        <is>
          <t>Renewed</t>
        </is>
      </c>
    </row>
    <row r="41">
      <c r="A41" s="15" t="inlineStr">
        <is>
          <t>ADM-FIR-PEW-2024-1036</t>
        </is>
      </c>
      <c r="B41" s="15" t="inlineStr">
        <is>
          <t>Sadia Rehman</t>
        </is>
      </c>
      <c r="C41" s="15" t="inlineStr">
        <is>
          <t>Peshawar</t>
        </is>
      </c>
      <c r="D41" s="15" t="inlineStr">
        <is>
          <t>North</t>
        </is>
      </c>
      <c r="E41" s="15" t="inlineStr">
        <is>
          <t>Fire &amp; Property</t>
        </is>
      </c>
      <c r="F41" s="15" t="inlineStr">
        <is>
          <t>Corporate</t>
        </is>
      </c>
      <c r="G41" s="41" t="n">
        <v>45637</v>
      </c>
      <c r="H41" s="14" t="n">
        <v>113000</v>
      </c>
      <c r="I41" s="14" t="n">
        <v>125166</v>
      </c>
      <c r="J41" s="15" t="inlineStr">
        <is>
          <t>Active</t>
        </is>
      </c>
    </row>
    <row r="43">
      <c r="A43" s="9" t="inlineStr">
        <is>
          <t>Table B — Report parameters</t>
        </is>
      </c>
    </row>
    <row r="44" ht="30" customHeight="1">
      <c r="A44" s="10" t="inlineStr">
        <is>
          <t>Parameter</t>
        </is>
      </c>
      <c r="B44" s="10" t="inlineStr">
        <is>
          <t>Value</t>
        </is>
      </c>
    </row>
    <row r="45">
      <c r="A45" s="7" t="inlineStr">
        <is>
          <t>Period start</t>
        </is>
      </c>
      <c r="B45" s="44" t="n">
        <v>45474</v>
      </c>
    </row>
    <row r="46">
      <c r="A46" s="15" t="inlineStr">
        <is>
          <t>Period end</t>
        </is>
      </c>
      <c r="B46" s="45" t="n">
        <v>45565</v>
      </c>
    </row>
    <row r="47">
      <c r="A47" s="7" t="inlineStr">
        <is>
          <t>Branch</t>
        </is>
      </c>
      <c r="B47" s="7" t="inlineStr">
        <is>
          <t>Karachi Main</t>
        </is>
      </c>
    </row>
    <row r="48">
      <c r="A48" s="15" t="inlineStr">
        <is>
          <t>Product</t>
        </is>
      </c>
      <c r="B48" s="15" t="inlineStr">
        <is>
          <t>Motor</t>
        </is>
      </c>
    </row>
    <row r="49">
      <c r="A49" s="7" t="inlineStr">
        <is>
          <t>Minimum premium (PKR)</t>
        </is>
      </c>
      <c r="B49" s="43" t="n">
        <v>200000</v>
      </c>
    </row>
    <row r="50">
      <c r="A50" s="15" t="inlineStr">
        <is>
          <t>Client name pattern</t>
        </is>
      </c>
      <c r="B50" s="15" t="inlineStr">
        <is>
          <t>*Limited</t>
        </is>
      </c>
    </row>
    <row r="52">
      <c r="A52"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55.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Monthly Branch Performance Pack — the core grid</t>
        </is>
      </c>
    </row>
    <row r="3">
      <c r="A3" s="21" t="inlineStr">
        <is>
          <t>Prepared for:</t>
        </is>
      </c>
      <c r="B3" s="22" t="inlineStr">
        <is>
          <t>Regional Head — Central</t>
        </is>
      </c>
    </row>
    <row r="4">
      <c r="A4" s="21" t="inlineStr">
        <is>
          <t>Prepared by:</t>
        </is>
      </c>
      <c r="B4" s="23" t="n"/>
    </row>
    <row r="5">
      <c r="A5" s="21" t="inlineStr">
        <is>
          <t>Reporting date:</t>
        </is>
      </c>
      <c r="B5" s="22" t="inlineStr">
        <is>
          <t>As at reporting date shown on the dataset</t>
        </is>
      </c>
    </row>
    <row r="7" ht="44" customHeight="1">
      <c r="A7" s="24" t="inlineStr">
        <is>
          <t>The performance pack is the single most-read report in the company and it is built by filtering the transaction register ten times and pasting the totals. It takes a day and a half and the June pack had two branches transposed.</t>
        </is>
      </c>
    </row>
    <row r="9">
      <c r="A9" s="25" t="inlineStr">
        <is>
          <t>Source data: '2.10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Monthly Branch Performance Pack — the core grid</t>
        </is>
      </c>
      <c r="C13" s="38" t="inlineStr">
        <is>
          <t>The core grid: branches down the side, products across the top, showing Gross Premium. Built with one formula written once and copied across and down the whole grid. Row and column totals included.</t>
        </is>
      </c>
      <c r="D13" s="37" t="inlineStr">
        <is>
          <t>Regional Head — Central</t>
        </is>
      </c>
      <c r="E13" s="31" t="n"/>
    </row>
    <row r="14" ht="65" customHeight="1">
      <c r="A14" s="35" t="n">
        <v>2</v>
      </c>
      <c r="B14" s="36" t="inlineStr">
        <is>
          <t>Q3 period-bounded figures</t>
        </is>
      </c>
      <c r="C14" s="38" t="inlineStr">
        <is>
          <t>The same grid restricted to the period between the two date parameter cells, plus policy count and average premium grids on the same basis. Changing the two dates must move every grid.</t>
        </is>
      </c>
      <c r="D14" s="37" t="inlineStr">
        <is>
          <t>Chief Financial Officer</t>
        </is>
      </c>
      <c r="E14" s="31" t="n"/>
    </row>
    <row r="15" ht="52" customHeight="1">
      <c r="A15" s="35" t="n">
        <v>3</v>
      </c>
      <c r="B15" s="36" t="inlineStr">
        <is>
          <t>Corporate client premium by name pattern</t>
        </is>
      </c>
      <c r="C15" s="38" t="inlineStr">
        <is>
          <t>A corporate segment figure: premium and policy count for clients whose name matches the pattern in the parameter cell, with the pattern changeable without editing the formula.</t>
        </is>
      </c>
      <c r="D15" s="37" t="inlineStr">
        <is>
          <t>Head of Corporate Business</t>
        </is>
      </c>
      <c r="E15" s="31" t="n"/>
    </row>
    <row r="16" ht="52" customHeight="1">
      <c r="A16" s="35" t="n">
        <v>4</v>
      </c>
      <c r="B16" s="36" t="inlineStr">
        <is>
          <t>Claims excluding cancelled policies, by branch</t>
        </is>
      </c>
      <c r="C16" s="38" t="inlineStr">
        <is>
          <t>A branch claims column excluding cancelled policies, alongside the unadjusted figure and the difference, so the adjustment reconciles to the ledger.</t>
        </is>
      </c>
      <c r="D16" s="37" t="inlineStr">
        <is>
          <t>Finance Manager — Technical Accounts</t>
        </is>
      </c>
      <c r="E16" s="31" t="n"/>
    </row>
    <row r="17" ht="52" customHeight="1">
      <c r="A17" s="35" t="n">
        <v>5</v>
      </c>
      <c r="B17" s="36" t="inlineStr">
        <is>
          <t>Presentation of empty segments</t>
        </is>
      </c>
      <c r="C17" s="38" t="inlineStr">
        <is>
          <t>The average premium grid presented with a dash where no policies exist, and a one-line note stating why AVERAGEIFS behaves this way and what the dash means to the reader.</t>
        </is>
      </c>
      <c r="D17" s="37" t="inlineStr">
        <is>
          <t>Head of Management Reporting</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56.xml><?xml version="1.0" encoding="utf-8"?>
<worksheet xmlns="http://schemas.openxmlformats.org/spreadsheetml/2006/main">
  <sheetPr>
    <tabColor rgb="001F3864"/>
    <outlinePr summaryBelow="1" summaryRight="1"/>
    <pageSetUpPr/>
  </sheetPr>
  <dimension ref="A1:H22"/>
  <sheetViews>
    <sheetView showGridLines="0" workbookViewId="0">
      <pane ySplit="5" topLeftCell="A6" activePane="bottomLeft" state="frozen"/>
      <selection pane="bottomLeft" activeCell="A1" sqref="A1"/>
    </sheetView>
  </sheetViews>
  <sheetFormatPr baseColWidth="8" defaultRowHeight="15"/>
  <cols>
    <col width="22" customWidth="1" min="1" max="1"/>
    <col width="22" customWidth="1" min="2" max="2"/>
    <col width="18" customWidth="1" min="3" max="3"/>
    <col width="20" customWidth="1" min="4" max="4"/>
    <col width="18" customWidth="1" min="5" max="5"/>
    <col width="18" customWidth="1" min="6" max="6"/>
    <col width="16" customWidth="1" min="7" max="7"/>
    <col width="24" customWidth="1" min="8" max="8"/>
  </cols>
  <sheetData>
    <row r="1" ht="26" customHeight="1">
      <c r="A1" s="1" t="inlineStr">
        <is>
          <t>Dataset 2.11  —  AGGREGATE Function (Ignoring Errors and Hidden Rows)</t>
        </is>
      </c>
    </row>
    <row r="2" ht="16" customHeight="1">
      <c r="A2" s="2" t="inlineStr">
        <is>
          <t>Session 2: Array Formulas, Advanced Logic &amp; Named Ranges | Part B: Advanced Logical and Math Functions   |   Adamjee Assurance Company Limited (Pakistan) — training data, figures in PKR</t>
        </is>
      </c>
    </row>
    <row r="4">
      <c r="A4" s="9" t="inlineStr">
        <is>
          <t>Table A — Claims register with deliberate data problems</t>
        </is>
      </c>
    </row>
    <row r="5" ht="30" customHeight="1">
      <c r="A5" s="10" t="inlineStr">
        <is>
          <t>Claim No</t>
        </is>
      </c>
      <c r="B5" s="10" t="inlineStr">
        <is>
          <t>Branch</t>
        </is>
      </c>
      <c r="C5" s="10" t="inlineStr">
        <is>
          <t>Product</t>
        </is>
      </c>
      <c r="D5" s="10" t="inlineStr">
        <is>
          <t>Claimed Amount (PKR)</t>
        </is>
      </c>
      <c r="E5" s="10" t="inlineStr">
        <is>
          <t>Paid Amount (PKR)</t>
        </is>
      </c>
      <c r="F5" s="10" t="inlineStr">
        <is>
          <t>Recovery (PKR)</t>
        </is>
      </c>
      <c r="G5" s="10" t="inlineStr">
        <is>
          <t>Claim Status</t>
        </is>
      </c>
      <c r="H5" s="10" t="inlineStr">
        <is>
          <t>Data Note</t>
        </is>
      </c>
    </row>
    <row r="6">
      <c r="A6" s="7" t="inlineStr">
        <is>
          <t>CLM-KHI-2024-0501</t>
        </is>
      </c>
      <c r="B6" s="7" t="inlineStr">
        <is>
          <t>Karachi Main</t>
        </is>
      </c>
      <c r="C6" s="7" t="inlineStr">
        <is>
          <t>Motor</t>
        </is>
      </c>
      <c r="D6" s="11" t="n">
        <v>385000</v>
      </c>
      <c r="E6" s="11" t="n">
        <v>341000</v>
      </c>
      <c r="F6" s="11" t="n">
        <v>22000</v>
      </c>
      <c r="G6" s="7" t="inlineStr">
        <is>
          <t>Settled</t>
        </is>
      </c>
      <c r="H6" s="7" t="inlineStr"/>
    </row>
    <row r="7">
      <c r="A7" s="15" t="inlineStr">
        <is>
          <t>CLM-LHR-2024-0502</t>
        </is>
      </c>
      <c r="B7" s="15" t="inlineStr">
        <is>
          <t>Lahore Gulberg</t>
        </is>
      </c>
      <c r="C7" s="15" t="inlineStr">
        <is>
          <t>Fire &amp; Property</t>
        </is>
      </c>
      <c r="D7" s="14" t="n">
        <v>1240000</v>
      </c>
      <c r="E7" s="14" t="n">
        <v>1015000</v>
      </c>
      <c r="F7" s="14" t="n">
        <v>0</v>
      </c>
      <c r="G7" s="15" t="inlineStr">
        <is>
          <t>Settled</t>
        </is>
      </c>
      <c r="H7" s="15" t="inlineStr"/>
    </row>
    <row r="8">
      <c r="A8" s="7" t="inlineStr">
        <is>
          <t>CLM-ISB-2024-0503</t>
        </is>
      </c>
      <c r="B8" s="7" t="inlineStr">
        <is>
          <t>Islamabad Blue Area</t>
        </is>
      </c>
      <c r="C8" s="7" t="inlineStr">
        <is>
          <t>Health</t>
        </is>
      </c>
      <c r="D8" s="11" t="n">
        <v>92500</v>
      </c>
      <c r="E8" s="11" t="inlineStr">
        <is>
          <t>N/A</t>
        </is>
      </c>
      <c r="F8" s="11" t="n">
        <v>0</v>
      </c>
      <c r="G8" s="7" t="inlineStr">
        <is>
          <t>Under Survey</t>
        </is>
      </c>
      <c r="H8" s="7" t="inlineStr">
        <is>
          <t>Text in number column</t>
        </is>
      </c>
    </row>
    <row r="9">
      <c r="A9" s="15" t="inlineStr">
        <is>
          <t>CLM-FSD-2024-0504</t>
        </is>
      </c>
      <c r="B9" s="15" t="inlineStr">
        <is>
          <t>Faisalabad</t>
        </is>
      </c>
      <c r="C9" s="15" t="inlineStr">
        <is>
          <t>Engineering</t>
        </is>
      </c>
      <c r="D9" s="14" t="n">
        <v>660000</v>
      </c>
      <c r="E9" s="14" t="n">
        <v>512000</v>
      </c>
      <c r="F9" s="14" t="n">
        <v>48000</v>
      </c>
      <c r="G9" s="15" t="inlineStr">
        <is>
          <t>Settled</t>
        </is>
      </c>
      <c r="H9" s="15" t="inlineStr"/>
    </row>
    <row r="10">
      <c r="A10" s="7" t="inlineStr">
        <is>
          <t>CLM-MUL-2024-0505</t>
        </is>
      </c>
      <c r="B10" s="7" t="inlineStr">
        <is>
          <t>Multan</t>
        </is>
      </c>
      <c r="C10" s="7" t="inlineStr">
        <is>
          <t>Marine Cargo</t>
        </is>
      </c>
      <c r="D10" s="11" t="n">
        <v>208000</v>
      </c>
      <c r="E10" s="11" t="n">
        <v>208000</v>
      </c>
      <c r="F10" s="11" t="n">
        <v>0</v>
      </c>
      <c r="G10" s="7" t="inlineStr">
        <is>
          <t>Settled</t>
        </is>
      </c>
      <c r="H10" s="7" t="inlineStr"/>
    </row>
    <row r="11">
      <c r="A11" s="15" t="inlineStr">
        <is>
          <t>CLM-KHI-2024-0506</t>
        </is>
      </c>
      <c r="B11" s="15" t="inlineStr">
        <is>
          <t>Karachi Main</t>
        </is>
      </c>
      <c r="C11" s="15" t="inlineStr">
        <is>
          <t>Motor</t>
        </is>
      </c>
      <c r="D11" s="14" t="n">
        <v>1875000</v>
      </c>
      <c r="E11" s="14" t="inlineStr">
        <is>
          <t>Pending</t>
        </is>
      </c>
      <c r="F11" s="14" t="n">
        <v>0</v>
      </c>
      <c r="G11" s="15" t="inlineStr">
        <is>
          <t>Outstanding</t>
        </is>
      </c>
      <c r="H11" s="15" t="inlineStr">
        <is>
          <t>Text in number column</t>
        </is>
      </c>
    </row>
    <row r="12">
      <c r="A12" s="7" t="inlineStr">
        <is>
          <t>CLM-PEW-2024-0507</t>
        </is>
      </c>
      <c r="B12" s="7" t="inlineStr">
        <is>
          <t>Peshawar</t>
        </is>
      </c>
      <c r="C12" s="7" t="inlineStr">
        <is>
          <t>Miscellaneous</t>
        </is>
      </c>
      <c r="D12" s="11" t="n">
        <v>445000</v>
      </c>
      <c r="E12" s="11" t="n">
        <v>398000</v>
      </c>
      <c r="F12" s="11" t="n">
        <v>15000</v>
      </c>
      <c r="G12" s="7" t="inlineStr">
        <is>
          <t>Settled</t>
        </is>
      </c>
      <c r="H12" s="7" t="inlineStr"/>
    </row>
    <row r="13">
      <c r="A13" s="15" t="inlineStr">
        <is>
          <t>CLM-HYD-2024-0508</t>
        </is>
      </c>
      <c r="B13" s="15" t="inlineStr">
        <is>
          <t>Hyderabad</t>
        </is>
      </c>
      <c r="C13" s="15" t="inlineStr">
        <is>
          <t>Motor</t>
        </is>
      </c>
      <c r="D13" s="14" t="n">
        <v>130000</v>
      </c>
      <c r="E13" s="14" t="n">
        <v>117000</v>
      </c>
      <c r="F13" s="14" t="n">
        <v>0</v>
      </c>
      <c r="G13" s="15" t="inlineStr">
        <is>
          <t>Settled</t>
        </is>
      </c>
      <c r="H13" s="15" t="inlineStr"/>
    </row>
    <row r="14">
      <c r="A14" s="7" t="inlineStr">
        <is>
          <t>CLM-LHR-2024-0509</t>
        </is>
      </c>
      <c r="B14" s="7" t="inlineStr">
        <is>
          <t>Lahore Gulberg</t>
        </is>
      </c>
      <c r="C14" s="7" t="inlineStr">
        <is>
          <t>Health</t>
        </is>
      </c>
      <c r="D14" s="11" t="n">
        <v>76000</v>
      </c>
      <c r="E14" s="11" t="n">
        <v>76000</v>
      </c>
      <c r="F14" s="11" t="n">
        <v>0</v>
      </c>
      <c r="G14" s="7" t="inlineStr">
        <is>
          <t>Settled</t>
        </is>
      </c>
      <c r="H14" s="7" t="inlineStr"/>
    </row>
    <row r="15">
      <c r="A15" s="15" t="inlineStr">
        <is>
          <t>CLM-KHI-2024-0510</t>
        </is>
      </c>
      <c r="B15" s="15" t="inlineStr">
        <is>
          <t>Karachi Main</t>
        </is>
      </c>
      <c r="C15" s="15" t="inlineStr">
        <is>
          <t>Marine Cargo</t>
        </is>
      </c>
      <c r="D15" s="14" t="n">
        <v>2450000</v>
      </c>
      <c r="E15" s="14" t="n">
        <v>1980000</v>
      </c>
      <c r="F15" s="14" t="n">
        <v>310000</v>
      </c>
      <c r="G15" s="15" t="inlineStr">
        <is>
          <t>Settled</t>
        </is>
      </c>
      <c r="H15" s="15" t="inlineStr"/>
    </row>
    <row r="16">
      <c r="A16" s="7" t="inlineStr">
        <is>
          <t>CLM-SKT-2024-0511</t>
        </is>
      </c>
      <c r="B16" s="7" t="inlineStr">
        <is>
          <t>Sialkot</t>
        </is>
      </c>
      <c r="C16" s="7" t="inlineStr">
        <is>
          <t>Fire &amp; Property</t>
        </is>
      </c>
      <c r="D16" s="11" t="n">
        <v>890000</v>
      </c>
      <c r="E16" s="11" t="inlineStr">
        <is>
          <t>Repudiated</t>
        </is>
      </c>
      <c r="F16" s="11" t="n">
        <v>0</v>
      </c>
      <c r="G16" s="7" t="inlineStr">
        <is>
          <t>Repudiated</t>
        </is>
      </c>
      <c r="H16" s="7" t="inlineStr">
        <is>
          <t>Text in number column</t>
        </is>
      </c>
    </row>
    <row r="17">
      <c r="A17" s="15" t="inlineStr">
        <is>
          <t>CLM-RWP-2024-0512</t>
        </is>
      </c>
      <c r="B17" s="15" t="inlineStr">
        <is>
          <t>Rawalpindi</t>
        </is>
      </c>
      <c r="C17" s="15" t="inlineStr">
        <is>
          <t>Motor</t>
        </is>
      </c>
      <c r="D17" s="14" t="n">
        <v>312000</v>
      </c>
      <c r="E17" s="14" t="n">
        <v>289000</v>
      </c>
      <c r="F17" s="14" t="n">
        <v>0</v>
      </c>
      <c r="G17" s="15" t="inlineStr">
        <is>
          <t>Settled</t>
        </is>
      </c>
      <c r="H17" s="15" t="inlineStr"/>
    </row>
    <row r="18">
      <c r="A18" s="7" t="inlineStr">
        <is>
          <t>CLM-QTA-2024-0513</t>
        </is>
      </c>
      <c r="B18" s="7" t="inlineStr">
        <is>
          <t>Quetta</t>
        </is>
      </c>
      <c r="C18" s="7" t="inlineStr">
        <is>
          <t>Engineering</t>
        </is>
      </c>
      <c r="D18" s="11" t="n">
        <v>1120000</v>
      </c>
      <c r="E18" s="11" t="n">
        <v>940000</v>
      </c>
      <c r="F18" s="11" t="n">
        <v>76000</v>
      </c>
      <c r="G18" s="7" t="inlineStr">
        <is>
          <t>Settled</t>
        </is>
      </c>
      <c r="H18" s="7" t="inlineStr"/>
    </row>
    <row r="19">
      <c r="A19" s="15" t="inlineStr">
        <is>
          <t>CLM-FSD-2024-0514</t>
        </is>
      </c>
      <c r="B19" s="15" t="inlineStr">
        <is>
          <t>Faisalabad</t>
        </is>
      </c>
      <c r="C19" s="15" t="inlineStr">
        <is>
          <t>Health</t>
        </is>
      </c>
      <c r="D19" s="14" t="n">
        <v>54000</v>
      </c>
      <c r="E19" s="14" t="n">
        <v>54000</v>
      </c>
      <c r="F19" s="14" t="n">
        <v>0</v>
      </c>
      <c r="G19" s="15" t="inlineStr">
        <is>
          <t>Settled</t>
        </is>
      </c>
      <c r="H19" s="15" t="inlineStr"/>
    </row>
    <row r="20">
      <c r="A20" s="7" t="inlineStr">
        <is>
          <t>CLM-KHI-2024-0515</t>
        </is>
      </c>
      <c r="B20" s="7" t="inlineStr">
        <is>
          <t>Karachi Main</t>
        </is>
      </c>
      <c r="C20" s="7" t="inlineStr">
        <is>
          <t>Travel</t>
        </is>
      </c>
      <c r="D20" s="11" t="n">
        <v>41000</v>
      </c>
      <c r="E20" s="11" t="n">
        <v>41000</v>
      </c>
      <c r="F20" s="11" t="n">
        <v>0</v>
      </c>
      <c r="G20" s="7" t="inlineStr">
        <is>
          <t>Settled</t>
        </is>
      </c>
      <c r="H20" s="7" t="inlineStr"/>
    </row>
    <row r="22">
      <c r="A22"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57.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Claims Register totals despite unresolved records</t>
        </is>
      </c>
    </row>
    <row r="3">
      <c r="A3" s="21" t="inlineStr">
        <is>
          <t>Prepared for:</t>
        </is>
      </c>
      <c r="B3" s="22" t="inlineStr">
        <is>
          <t>Head of Claims Operations</t>
        </is>
      </c>
    </row>
    <row r="4">
      <c r="A4" s="21" t="inlineStr">
        <is>
          <t>Prepared by:</t>
        </is>
      </c>
      <c r="B4" s="23" t="n"/>
    </row>
    <row r="5">
      <c r="A5" s="21" t="inlineStr">
        <is>
          <t>Reporting date:</t>
        </is>
      </c>
      <c r="B5" s="22" t="inlineStr">
        <is>
          <t>As at reporting date shown on the dataset</t>
        </is>
      </c>
    </row>
    <row r="7" ht="44" customHeight="1">
      <c r="A7" s="24" t="inlineStr">
        <is>
          <t>Three claims carry text in the paid amount column — 'N/A', 'Pending' and 'Repudiated' — because Finance uses those markers to identify unresolved records and refuses to replace them with zero. Every SUM on the sheet has failed since the markers were introduced and the register total is currently typed in by hand.</t>
        </is>
      </c>
    </row>
    <row r="9">
      <c r="A9" s="25" t="inlineStr">
        <is>
          <t>Source data: '2.11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Claims Register totals despite unresolved records</t>
        </is>
      </c>
      <c r="C13" s="38" t="inlineStr">
        <is>
          <t>A register summary: Total Claimed | Total Paid | Average Claim | Largest Claim | Smallest Claim, every figure ignoring the text and error values without deleting or altering a single source cell.</t>
        </is>
      </c>
      <c r="D13" s="37" t="inlineStr">
        <is>
          <t>Head of Claims Operations</t>
        </is>
      </c>
      <c r="E13" s="31" t="n"/>
    </row>
    <row r="14" ht="52" customHeight="1">
      <c r="A14" s="35" t="n">
        <v>2</v>
      </c>
      <c r="B14" s="36" t="inlineStr">
        <is>
          <t>Filter-responsive branch totals for the review meeting</t>
        </is>
      </c>
      <c r="C14" s="38" t="inlineStr">
        <is>
          <t>A totals block that responds to the AutoFilter and still ignores the error values, demonstrated by filtering to Karachi Main and recording the figures before and after.</t>
        </is>
      </c>
      <c r="D14" s="37" t="inlineStr">
        <is>
          <t>Head of Claims Operations</t>
        </is>
      </c>
      <c r="E14" s="31" t="n"/>
    </row>
    <row r="15" ht="52" customHeight="1">
      <c r="A15" s="35" t="n">
        <v>3</v>
      </c>
      <c r="B15" s="36" t="inlineStr">
        <is>
          <t>Largest claims schedule for the reinsurance notification</t>
        </is>
      </c>
      <c r="C15" s="38" t="inlineStr">
        <is>
          <t>A schedule of the largest three claims by claimed amount, each with claim number, branch, product and amount, produced without sorting or altering the register.</t>
        </is>
      </c>
      <c r="D15" s="37" t="inlineStr">
        <is>
          <t>Head of Reinsurance</t>
        </is>
      </c>
      <c r="E15" s="31" t="n"/>
    </row>
    <row r="16" ht="52" customHeight="1">
      <c r="A16" s="35" t="n">
        <v>4</v>
      </c>
      <c r="B16" s="36" t="inlineStr">
        <is>
          <t>Hidden versus filtered rows — control note</t>
        </is>
      </c>
      <c r="C16" s="38" t="inlineStr">
        <is>
          <t>A control note recording what AGGREGATE option 5 and option 7 each do after rows are hidden manually rather than filtered, with evidence from the register.</t>
        </is>
      </c>
      <c r="D16" s="37" t="inlineStr">
        <is>
          <t>Head of Internal Audit</t>
        </is>
      </c>
      <c r="E16" s="31" t="n"/>
    </row>
    <row r="17" ht="65" customHeight="1">
      <c r="A17" s="35" t="n">
        <v>5</v>
      </c>
      <c r="B17" s="36" t="inlineStr">
        <is>
          <t>Data quality escalation</t>
        </is>
      </c>
      <c r="C17" s="38" t="inlineStr">
        <is>
          <t>A two-line escalation: whether you would ship the AGGREGATE solution or insist the source data is fixed, what you would say to Finance about the text markers, and what control you would put in place meanwhile.</t>
        </is>
      </c>
      <c r="D17" s="37" t="inlineStr">
        <is>
          <t>Head of Internal Audit</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58.xml><?xml version="1.0" encoding="utf-8"?>
<worksheet xmlns="http://schemas.openxmlformats.org/spreadsheetml/2006/main">
  <sheetPr>
    <tabColor rgb="001F3864"/>
    <outlinePr summaryBelow="1" summaryRight="1"/>
    <pageSetUpPr/>
  </sheetPr>
  <dimension ref="A1:K59"/>
  <sheetViews>
    <sheetView showGridLines="0" workbookViewId="0">
      <pane ySplit="5" topLeftCell="A6" activePane="bottomLeft" state="frozen"/>
      <selection pane="bottomLeft" activeCell="A1" sqref="A1"/>
    </sheetView>
  </sheetViews>
  <sheetFormatPr baseColWidth="8" defaultRowHeight="15"/>
  <cols>
    <col width="28" customWidth="1" min="1" max="1"/>
    <col width="14" customWidth="1" min="2" max="2"/>
    <col width="18" customWidth="1" min="3" max="3"/>
    <col width="18" customWidth="1" min="4" max="4"/>
    <col width="16" customWidth="1" min="5" max="5"/>
    <col width="12" customWidth="1" min="6" max="6"/>
    <col width="18" customWidth="1" min="7" max="7"/>
    <col width="20" customWidth="1" min="8" max="8"/>
    <col width="20" customWidth="1" min="9" max="9"/>
    <col width="13" customWidth="1" min="10" max="10"/>
    <col width="14" customWidth="1" min="11" max="11"/>
  </cols>
  <sheetData>
    <row r="1" ht="26" customHeight="1">
      <c r="A1" s="1" t="inlineStr">
        <is>
          <t>Dataset 2.12  —  Creating and Managing Named Ranges</t>
        </is>
      </c>
    </row>
    <row r="2" ht="16" customHeight="1">
      <c r="A2" s="2" t="inlineStr">
        <is>
          <t>Session 2: Array Formulas, Advanced Logic &amp; Named Ranges | Part C: Named Ranges and Dynamic Ranges   |   Adamjee Assurance Company Limited (Pakistan) — training data, figures in PKR</t>
        </is>
      </c>
    </row>
    <row r="4">
      <c r="A4" s="9" t="inlineStr">
        <is>
          <t>Table A — Underwriting extract 2024</t>
        </is>
      </c>
    </row>
    <row r="5" ht="30" customHeight="1">
      <c r="A5" s="10" t="inlineStr">
        <is>
          <t>Policy No</t>
        </is>
      </c>
      <c r="B5" s="10" t="inlineStr">
        <is>
          <t>Branch</t>
        </is>
      </c>
      <c r="C5" s="10" t="inlineStr">
        <is>
          <t>Region</t>
        </is>
      </c>
      <c r="D5" s="10" t="inlineStr">
        <is>
          <t>Product</t>
        </is>
      </c>
      <c r="E5" s="10" t="inlineStr">
        <is>
          <t>Channel</t>
        </is>
      </c>
      <c r="F5" s="10" t="inlineStr">
        <is>
          <t>Month</t>
        </is>
      </c>
      <c r="G5" s="10" t="inlineStr">
        <is>
          <t>Sum Insured (PKR)</t>
        </is>
      </c>
      <c r="H5" s="10" t="inlineStr">
        <is>
          <t>Gross Premium (PKR)</t>
        </is>
      </c>
      <c r="I5" s="10" t="inlineStr">
        <is>
          <t>Claims Paid (PKR)</t>
        </is>
      </c>
      <c r="J5" s="10" t="inlineStr">
        <is>
          <t>Commission %</t>
        </is>
      </c>
      <c r="K5" s="10" t="inlineStr">
        <is>
          <t>Policy Status</t>
        </is>
      </c>
    </row>
    <row r="6">
      <c r="A6" s="7" t="inlineStr">
        <is>
          <t>ADM-FIR-KHI-2024-1001</t>
        </is>
      </c>
      <c r="B6" s="7" t="inlineStr">
        <is>
          <t>Karachi Main</t>
        </is>
      </c>
      <c r="C6" s="7" t="inlineStr">
        <is>
          <t>South</t>
        </is>
      </c>
      <c r="D6" s="7" t="inlineStr">
        <is>
          <t>Fire &amp; Property</t>
        </is>
      </c>
      <c r="E6" s="7" t="inlineStr">
        <is>
          <t>Direct</t>
        </is>
      </c>
      <c r="F6" s="7" t="inlineStr">
        <is>
          <t>Jan-2024</t>
        </is>
      </c>
      <c r="G6" s="11" t="n">
        <v>4500000</v>
      </c>
      <c r="H6" s="11" t="n">
        <v>96000</v>
      </c>
      <c r="I6" s="11" t="n">
        <v>96262</v>
      </c>
      <c r="J6" s="13" t="n">
        <v>0.15</v>
      </c>
      <c r="K6" s="7" t="inlineStr">
        <is>
          <t>Active</t>
        </is>
      </c>
    </row>
    <row r="7">
      <c r="A7" s="15" t="inlineStr">
        <is>
          <t>ADM-TRV-LHR-2024-1002</t>
        </is>
      </c>
      <c r="B7" s="15" t="inlineStr">
        <is>
          <t>Lahore Gulberg</t>
        </is>
      </c>
      <c r="C7" s="15" t="inlineStr">
        <is>
          <t>Central</t>
        </is>
      </c>
      <c r="D7" s="15" t="inlineStr">
        <is>
          <t>Travel</t>
        </is>
      </c>
      <c r="E7" s="15" t="inlineStr">
        <is>
          <t>Agency</t>
        </is>
      </c>
      <c r="F7" s="15" t="inlineStr">
        <is>
          <t>Feb-2024</t>
        </is>
      </c>
      <c r="G7" s="14" t="n">
        <v>12000000</v>
      </c>
      <c r="H7" s="14" t="n">
        <v>201000</v>
      </c>
      <c r="I7" s="14" t="n">
        <v>111595</v>
      </c>
      <c r="J7" s="17" t="n">
        <v>0.175</v>
      </c>
      <c r="K7" s="15" t="inlineStr">
        <is>
          <t>Active</t>
        </is>
      </c>
    </row>
    <row r="8">
      <c r="A8" s="7" t="inlineStr">
        <is>
          <t>ADM-MTR-ISB-2024-1003</t>
        </is>
      </c>
      <c r="B8" s="7" t="inlineStr">
        <is>
          <t>Islamabad Blue Area</t>
        </is>
      </c>
      <c r="C8" s="7" t="inlineStr">
        <is>
          <t>North</t>
        </is>
      </c>
      <c r="D8" s="7" t="inlineStr">
        <is>
          <t>Motor</t>
        </is>
      </c>
      <c r="E8" s="7" t="inlineStr">
        <is>
          <t>Bancassurance</t>
        </is>
      </c>
      <c r="F8" s="7" t="inlineStr">
        <is>
          <t>Mar-2024</t>
        </is>
      </c>
      <c r="G8" s="11" t="n">
        <v>65000000</v>
      </c>
      <c r="H8" s="11" t="n">
        <v>1397000</v>
      </c>
      <c r="I8" s="11" t="n">
        <v>1436098</v>
      </c>
      <c r="J8" s="13" t="n">
        <v>0.125</v>
      </c>
      <c r="K8" s="7" t="inlineStr">
        <is>
          <t>Active</t>
        </is>
      </c>
    </row>
    <row r="9">
      <c r="A9" s="15" t="inlineStr">
        <is>
          <t>ADM-HLT-FSD-2024-1004</t>
        </is>
      </c>
      <c r="B9" s="15" t="inlineStr">
        <is>
          <t>Faisalabad</t>
        </is>
      </c>
      <c r="C9" s="15" t="inlineStr">
        <is>
          <t>Central</t>
        </is>
      </c>
      <c r="D9" s="15" t="inlineStr">
        <is>
          <t>Health</t>
        </is>
      </c>
      <c r="E9" s="15" t="inlineStr">
        <is>
          <t>Corporate</t>
        </is>
      </c>
      <c r="F9" s="15" t="inlineStr">
        <is>
          <t>Apr-2024</t>
        </is>
      </c>
      <c r="G9" s="14" t="n">
        <v>18500000</v>
      </c>
      <c r="H9" s="14" t="n">
        <v>305000</v>
      </c>
      <c r="I9" s="14" t="n">
        <v>185930</v>
      </c>
      <c r="J9" s="17" t="n">
        <v>0.125</v>
      </c>
      <c r="K9" s="15" t="inlineStr">
        <is>
          <t>Cancelled</t>
        </is>
      </c>
    </row>
    <row r="10">
      <c r="A10" s="7" t="inlineStr">
        <is>
          <t>ADM-MSC-MUL-2024-1005</t>
        </is>
      </c>
      <c r="B10" s="7" t="inlineStr">
        <is>
          <t>Multan</t>
        </is>
      </c>
      <c r="C10" s="7" t="inlineStr">
        <is>
          <t>Central</t>
        </is>
      </c>
      <c r="D10" s="7" t="inlineStr">
        <is>
          <t>Miscellaneous</t>
        </is>
      </c>
      <c r="E10" s="7" t="inlineStr">
        <is>
          <t>Direct</t>
        </is>
      </c>
      <c r="F10" s="7" t="inlineStr">
        <is>
          <t>May-2024</t>
        </is>
      </c>
      <c r="G10" s="11" t="n">
        <v>4500000</v>
      </c>
      <c r="H10" s="11" t="n">
        <v>75000</v>
      </c>
      <c r="I10" s="11" t="n">
        <v>44061</v>
      </c>
      <c r="J10" s="13" t="n">
        <v>0.175</v>
      </c>
      <c r="K10" s="7" t="inlineStr">
        <is>
          <t>Active</t>
        </is>
      </c>
    </row>
    <row r="11">
      <c r="A11" s="15" t="inlineStr">
        <is>
          <t>ADM-MAR-PEW-2024-1006</t>
        </is>
      </c>
      <c r="B11" s="15" t="inlineStr">
        <is>
          <t>Peshawar</t>
        </is>
      </c>
      <c r="C11" s="15" t="inlineStr">
        <is>
          <t>North</t>
        </is>
      </c>
      <c r="D11" s="15" t="inlineStr">
        <is>
          <t>Marine Cargo</t>
        </is>
      </c>
      <c r="E11" s="15" t="inlineStr">
        <is>
          <t>Agency</t>
        </is>
      </c>
      <c r="F11" s="15" t="inlineStr">
        <is>
          <t>Jun-2024</t>
        </is>
      </c>
      <c r="G11" s="14" t="n">
        <v>25000000</v>
      </c>
      <c r="H11" s="14" t="n">
        <v>380000</v>
      </c>
      <c r="I11" s="14" t="n">
        <v>91249</v>
      </c>
      <c r="J11" s="17" t="n">
        <v>0.125</v>
      </c>
      <c r="K11" s="15" t="inlineStr">
        <is>
          <t>Active</t>
        </is>
      </c>
    </row>
    <row r="12">
      <c r="A12" s="7" t="inlineStr">
        <is>
          <t>ADM-ENG-QTA-2024-1007</t>
        </is>
      </c>
      <c r="B12" s="7" t="inlineStr">
        <is>
          <t>Quetta</t>
        </is>
      </c>
      <c r="C12" s="7" t="inlineStr">
        <is>
          <t>South</t>
        </is>
      </c>
      <c r="D12" s="7" t="inlineStr">
        <is>
          <t>Engineering</t>
        </is>
      </c>
      <c r="E12" s="7" t="inlineStr">
        <is>
          <t>Bancassurance</t>
        </is>
      </c>
      <c r="F12" s="7" t="inlineStr">
        <is>
          <t>Jul-2024</t>
        </is>
      </c>
      <c r="G12" s="11" t="n">
        <v>18500000</v>
      </c>
      <c r="H12" s="11" t="n">
        <v>227000</v>
      </c>
      <c r="I12" s="11" t="n">
        <v>78775</v>
      </c>
      <c r="J12" s="13" t="n">
        <v>0.125</v>
      </c>
      <c r="K12" s="7" t="inlineStr">
        <is>
          <t>Active</t>
        </is>
      </c>
    </row>
    <row r="13">
      <c r="A13" s="15" t="inlineStr">
        <is>
          <t>ADM-FIR-HYD-2024-1008</t>
        </is>
      </c>
      <c r="B13" s="15" t="inlineStr">
        <is>
          <t>Hyderabad</t>
        </is>
      </c>
      <c r="C13" s="15" t="inlineStr">
        <is>
          <t>South</t>
        </is>
      </c>
      <c r="D13" s="15" t="inlineStr">
        <is>
          <t>Fire &amp; Property</t>
        </is>
      </c>
      <c r="E13" s="15" t="inlineStr">
        <is>
          <t>Corporate</t>
        </is>
      </c>
      <c r="F13" s="15" t="inlineStr">
        <is>
          <t>Aug-2024</t>
        </is>
      </c>
      <c r="G13" s="14" t="n">
        <v>25000000</v>
      </c>
      <c r="H13" s="14" t="n">
        <v>290000</v>
      </c>
      <c r="I13" s="14" t="n">
        <v>249183</v>
      </c>
      <c r="J13" s="17" t="n">
        <v>0.125</v>
      </c>
      <c r="K13" s="15" t="inlineStr">
        <is>
          <t>Renewed</t>
        </is>
      </c>
    </row>
    <row r="14">
      <c r="A14" s="7" t="inlineStr">
        <is>
          <t>ADM-TRV-SKT-2024-1009</t>
        </is>
      </c>
      <c r="B14" s="7" t="inlineStr">
        <is>
          <t>Sialkot</t>
        </is>
      </c>
      <c r="C14" s="7" t="inlineStr">
        <is>
          <t>Central</t>
        </is>
      </c>
      <c r="D14" s="7" t="inlineStr">
        <is>
          <t>Travel</t>
        </is>
      </c>
      <c r="E14" s="7" t="inlineStr">
        <is>
          <t>Direct</t>
        </is>
      </c>
      <c r="F14" s="7" t="inlineStr">
        <is>
          <t>Sep-2024</t>
        </is>
      </c>
      <c r="G14" s="11" t="n">
        <v>7500000</v>
      </c>
      <c r="H14" s="11" t="n">
        <v>37000</v>
      </c>
      <c r="I14" s="11" t="n">
        <v>48145</v>
      </c>
      <c r="J14" s="13" t="n">
        <v>0.125</v>
      </c>
      <c r="K14" s="7" t="inlineStr">
        <is>
          <t>Active</t>
        </is>
      </c>
    </row>
    <row r="15">
      <c r="A15" s="15" t="inlineStr">
        <is>
          <t>ADM-MTR-RWP-2024-1010</t>
        </is>
      </c>
      <c r="B15" s="15" t="inlineStr">
        <is>
          <t>Rawalpindi</t>
        </is>
      </c>
      <c r="C15" s="15" t="inlineStr">
        <is>
          <t>North</t>
        </is>
      </c>
      <c r="D15" s="15" t="inlineStr">
        <is>
          <t>Motor</t>
        </is>
      </c>
      <c r="E15" s="15" t="inlineStr">
        <is>
          <t>Agency</t>
        </is>
      </c>
      <c r="F15" s="15" t="inlineStr">
        <is>
          <t>Oct-2024</t>
        </is>
      </c>
      <c r="G15" s="14" t="n">
        <v>65000000</v>
      </c>
      <c r="H15" s="14" t="n">
        <v>760000</v>
      </c>
      <c r="I15" s="14" t="n">
        <v>162016</v>
      </c>
      <c r="J15" s="17" t="n">
        <v>0.2</v>
      </c>
      <c r="K15" s="15" t="inlineStr">
        <is>
          <t>Cancelled</t>
        </is>
      </c>
    </row>
    <row r="16">
      <c r="A16" s="7" t="inlineStr">
        <is>
          <t>ADM-HLT-KHI-2024-1011</t>
        </is>
      </c>
      <c r="B16" s="7" t="inlineStr">
        <is>
          <t>Karachi Main</t>
        </is>
      </c>
      <c r="C16" s="7" t="inlineStr">
        <is>
          <t>South</t>
        </is>
      </c>
      <c r="D16" s="7" t="inlineStr">
        <is>
          <t>Health</t>
        </is>
      </c>
      <c r="E16" s="7" t="inlineStr">
        <is>
          <t>Bancassurance</t>
        </is>
      </c>
      <c r="F16" s="7" t="inlineStr">
        <is>
          <t>Nov-2024</t>
        </is>
      </c>
      <c r="G16" s="11" t="n">
        <v>90000000</v>
      </c>
      <c r="H16" s="11" t="n">
        <v>603000</v>
      </c>
      <c r="I16" s="11" t="n">
        <v>595704</v>
      </c>
      <c r="J16" s="13" t="n">
        <v>0.2</v>
      </c>
      <c r="K16" s="7" t="inlineStr">
        <is>
          <t>Active</t>
        </is>
      </c>
    </row>
    <row r="17">
      <c r="A17" s="15" t="inlineStr">
        <is>
          <t>ADM-MSC-LHR-2024-1012</t>
        </is>
      </c>
      <c r="B17" s="15" t="inlineStr">
        <is>
          <t>Lahore Gulberg</t>
        </is>
      </c>
      <c r="C17" s="15" t="inlineStr">
        <is>
          <t>Central</t>
        </is>
      </c>
      <c r="D17" s="15" t="inlineStr">
        <is>
          <t>Miscellaneous</t>
        </is>
      </c>
      <c r="E17" s="15" t="inlineStr">
        <is>
          <t>Corporate</t>
        </is>
      </c>
      <c r="F17" s="15" t="inlineStr">
        <is>
          <t>Dec-2024</t>
        </is>
      </c>
      <c r="G17" s="14" t="n">
        <v>40000000</v>
      </c>
      <c r="H17" s="14" t="n">
        <v>512000</v>
      </c>
      <c r="I17" s="14" t="n">
        <v>394713</v>
      </c>
      <c r="J17" s="17" t="n">
        <v>0.125</v>
      </c>
      <c r="K17" s="15" t="inlineStr">
        <is>
          <t>Active</t>
        </is>
      </c>
    </row>
    <row r="18">
      <c r="A18" s="7" t="inlineStr">
        <is>
          <t>ADM-MAR-ISB-2024-1013</t>
        </is>
      </c>
      <c r="B18" s="7" t="inlineStr">
        <is>
          <t>Islamabad Blue Area</t>
        </is>
      </c>
      <c r="C18" s="7" t="inlineStr">
        <is>
          <t>North</t>
        </is>
      </c>
      <c r="D18" s="7" t="inlineStr">
        <is>
          <t>Marine Cargo</t>
        </is>
      </c>
      <c r="E18" s="7" t="inlineStr">
        <is>
          <t>Direct</t>
        </is>
      </c>
      <c r="F18" s="7" t="inlineStr">
        <is>
          <t>Jan-2024</t>
        </is>
      </c>
      <c r="G18" s="11" t="n">
        <v>90000000</v>
      </c>
      <c r="H18" s="11" t="n">
        <v>2169000</v>
      </c>
      <c r="I18" s="11" t="n">
        <v>2687419</v>
      </c>
      <c r="J18" s="13" t="n">
        <v>0.125</v>
      </c>
      <c r="K18" s="7" t="inlineStr">
        <is>
          <t>Active</t>
        </is>
      </c>
    </row>
    <row r="19">
      <c r="A19" s="15" t="inlineStr">
        <is>
          <t>ADM-ENG-FSD-2024-1014</t>
        </is>
      </c>
      <c r="B19" s="15" t="inlineStr">
        <is>
          <t>Faisalabad</t>
        </is>
      </c>
      <c r="C19" s="15" t="inlineStr">
        <is>
          <t>Central</t>
        </is>
      </c>
      <c r="D19" s="15" t="inlineStr">
        <is>
          <t>Engineering</t>
        </is>
      </c>
      <c r="E19" s="15" t="inlineStr">
        <is>
          <t>Agency</t>
        </is>
      </c>
      <c r="F19" s="15" t="inlineStr">
        <is>
          <t>Feb-2024</t>
        </is>
      </c>
      <c r="G19" s="14" t="n">
        <v>90000000</v>
      </c>
      <c r="H19" s="14" t="n">
        <v>1089000</v>
      </c>
      <c r="I19" s="14" t="n">
        <v>1020517</v>
      </c>
      <c r="J19" s="17" t="n">
        <v>0.175</v>
      </c>
      <c r="K19" s="15" t="inlineStr">
        <is>
          <t>Active</t>
        </is>
      </c>
    </row>
    <row r="20">
      <c r="A20" s="7" t="inlineStr">
        <is>
          <t>ADM-FIR-MUL-2024-1015</t>
        </is>
      </c>
      <c r="B20" s="7" t="inlineStr">
        <is>
          <t>Multan</t>
        </is>
      </c>
      <c r="C20" s="7" t="inlineStr">
        <is>
          <t>Central</t>
        </is>
      </c>
      <c r="D20" s="7" t="inlineStr">
        <is>
          <t>Fire &amp; Property</t>
        </is>
      </c>
      <c r="E20" s="7" t="inlineStr">
        <is>
          <t>Bancassurance</t>
        </is>
      </c>
      <c r="F20" s="7" t="inlineStr">
        <is>
          <t>Mar-2024</t>
        </is>
      </c>
      <c r="G20" s="11" t="n">
        <v>18500000</v>
      </c>
      <c r="H20" s="11" t="n">
        <v>484000</v>
      </c>
      <c r="I20" s="11" t="n">
        <v>575693</v>
      </c>
      <c r="J20" s="13" t="n">
        <v>0.2</v>
      </c>
      <c r="K20" s="7" t="inlineStr">
        <is>
          <t>Cancelled</t>
        </is>
      </c>
    </row>
    <row r="21">
      <c r="A21" s="15" t="inlineStr">
        <is>
          <t>ADM-TRV-PEW-2024-1016</t>
        </is>
      </c>
      <c r="B21" s="15" t="inlineStr">
        <is>
          <t>Peshawar</t>
        </is>
      </c>
      <c r="C21" s="15" t="inlineStr">
        <is>
          <t>North</t>
        </is>
      </c>
      <c r="D21" s="15" t="inlineStr">
        <is>
          <t>Travel</t>
        </is>
      </c>
      <c r="E21" s="15" t="inlineStr">
        <is>
          <t>Corporate</t>
        </is>
      </c>
      <c r="F21" s="15" t="inlineStr">
        <is>
          <t>Apr-2024</t>
        </is>
      </c>
      <c r="G21" s="14" t="n">
        <v>2800000</v>
      </c>
      <c r="H21" s="14" t="n">
        <v>74000</v>
      </c>
      <c r="I21" s="14" t="n">
        <v>114737</v>
      </c>
      <c r="J21" s="17" t="n">
        <v>0.125</v>
      </c>
      <c r="K21" s="15" t="inlineStr">
        <is>
          <t>Active</t>
        </is>
      </c>
    </row>
    <row r="22">
      <c r="A22" s="7" t="inlineStr">
        <is>
          <t>ADM-MTR-QTA-2024-1017</t>
        </is>
      </c>
      <c r="B22" s="7" t="inlineStr">
        <is>
          <t>Quetta</t>
        </is>
      </c>
      <c r="C22" s="7" t="inlineStr">
        <is>
          <t>South</t>
        </is>
      </c>
      <c r="D22" s="7" t="inlineStr">
        <is>
          <t>Motor</t>
        </is>
      </c>
      <c r="E22" s="7" t="inlineStr">
        <is>
          <t>Direct</t>
        </is>
      </c>
      <c r="F22" s="7" t="inlineStr">
        <is>
          <t>May-2024</t>
        </is>
      </c>
      <c r="G22" s="11" t="n">
        <v>40000000</v>
      </c>
      <c r="H22" s="11" t="n">
        <v>835000</v>
      </c>
      <c r="I22" s="11" t="n">
        <v>672109</v>
      </c>
      <c r="J22" s="13" t="n">
        <v>0.15</v>
      </c>
      <c r="K22" s="7" t="inlineStr">
        <is>
          <t>Active</t>
        </is>
      </c>
    </row>
    <row r="23">
      <c r="A23" s="15" t="inlineStr">
        <is>
          <t>ADM-HLT-HYD-2024-1018</t>
        </is>
      </c>
      <c r="B23" s="15" t="inlineStr">
        <is>
          <t>Hyderabad</t>
        </is>
      </c>
      <c r="C23" s="15" t="inlineStr">
        <is>
          <t>South</t>
        </is>
      </c>
      <c r="D23" s="15" t="inlineStr">
        <is>
          <t>Health</t>
        </is>
      </c>
      <c r="E23" s="15" t="inlineStr">
        <is>
          <t>Agency</t>
        </is>
      </c>
      <c r="F23" s="15" t="inlineStr">
        <is>
          <t>Jun-2024</t>
        </is>
      </c>
      <c r="G23" s="14" t="n">
        <v>7500000</v>
      </c>
      <c r="H23" s="14" t="n">
        <v>174000</v>
      </c>
      <c r="I23" s="14" t="n">
        <v>259300</v>
      </c>
      <c r="J23" s="17" t="n">
        <v>0.125</v>
      </c>
      <c r="K23" s="15" t="inlineStr">
        <is>
          <t>Cancelled</t>
        </is>
      </c>
    </row>
    <row r="24">
      <c r="A24" s="7" t="inlineStr">
        <is>
          <t>ADM-MSC-SKT-2024-1019</t>
        </is>
      </c>
      <c r="B24" s="7" t="inlineStr">
        <is>
          <t>Sialkot</t>
        </is>
      </c>
      <c r="C24" s="7" t="inlineStr">
        <is>
          <t>Central</t>
        </is>
      </c>
      <c r="D24" s="7" t="inlineStr">
        <is>
          <t>Miscellaneous</t>
        </is>
      </c>
      <c r="E24" s="7" t="inlineStr">
        <is>
          <t>Bancassurance</t>
        </is>
      </c>
      <c r="F24" s="7" t="inlineStr">
        <is>
          <t>Jul-2024</t>
        </is>
      </c>
      <c r="G24" s="11" t="n">
        <v>90000000</v>
      </c>
      <c r="H24" s="11" t="n">
        <v>927000</v>
      </c>
      <c r="I24" s="11" t="n">
        <v>505938</v>
      </c>
      <c r="J24" s="13" t="n">
        <v>0.2</v>
      </c>
      <c r="K24" s="7" t="inlineStr">
        <is>
          <t>Renewed</t>
        </is>
      </c>
    </row>
    <row r="25">
      <c r="A25" s="15" t="inlineStr">
        <is>
          <t>ADM-MAR-RWP-2024-1020</t>
        </is>
      </c>
      <c r="B25" s="15" t="inlineStr">
        <is>
          <t>Rawalpindi</t>
        </is>
      </c>
      <c r="C25" s="15" t="inlineStr">
        <is>
          <t>North</t>
        </is>
      </c>
      <c r="D25" s="15" t="inlineStr">
        <is>
          <t>Marine Cargo</t>
        </is>
      </c>
      <c r="E25" s="15" t="inlineStr">
        <is>
          <t>Corporate</t>
        </is>
      </c>
      <c r="F25" s="15" t="inlineStr">
        <is>
          <t>Aug-2024</t>
        </is>
      </c>
      <c r="G25" s="14" t="n">
        <v>7500000</v>
      </c>
      <c r="H25" s="14" t="n">
        <v>181000</v>
      </c>
      <c r="I25" s="14" t="n">
        <v>181691</v>
      </c>
      <c r="J25" s="17" t="n">
        <v>0.15</v>
      </c>
      <c r="K25" s="15" t="inlineStr">
        <is>
          <t>Active</t>
        </is>
      </c>
    </row>
    <row r="26">
      <c r="A26" s="7" t="inlineStr">
        <is>
          <t>ADM-ENG-KHI-2024-1021</t>
        </is>
      </c>
      <c r="B26" s="7" t="inlineStr">
        <is>
          <t>Karachi Main</t>
        </is>
      </c>
      <c r="C26" s="7" t="inlineStr">
        <is>
          <t>South</t>
        </is>
      </c>
      <c r="D26" s="7" t="inlineStr">
        <is>
          <t>Engineering</t>
        </is>
      </c>
      <c r="E26" s="7" t="inlineStr">
        <is>
          <t>Direct</t>
        </is>
      </c>
      <c r="F26" s="7" t="inlineStr">
        <is>
          <t>Sep-2024</t>
        </is>
      </c>
      <c r="G26" s="11" t="n">
        <v>4500000</v>
      </c>
      <c r="H26" s="11" t="n">
        <v>78000</v>
      </c>
      <c r="I26" s="11" t="n">
        <v>32635</v>
      </c>
      <c r="J26" s="13" t="n">
        <v>0.15</v>
      </c>
      <c r="K26" s="7" t="inlineStr">
        <is>
          <t>Lapsed</t>
        </is>
      </c>
    </row>
    <row r="27">
      <c r="A27" s="15" t="inlineStr">
        <is>
          <t>ADM-FIR-LHR-2024-1022</t>
        </is>
      </c>
      <c r="B27" s="15" t="inlineStr">
        <is>
          <t>Lahore Gulberg</t>
        </is>
      </c>
      <c r="C27" s="15" t="inlineStr">
        <is>
          <t>Central</t>
        </is>
      </c>
      <c r="D27" s="15" t="inlineStr">
        <is>
          <t>Fire &amp; Property</t>
        </is>
      </c>
      <c r="E27" s="15" t="inlineStr">
        <is>
          <t>Agency</t>
        </is>
      </c>
      <c r="F27" s="15" t="inlineStr">
        <is>
          <t>Oct-2024</t>
        </is>
      </c>
      <c r="G27" s="14" t="n">
        <v>40000000</v>
      </c>
      <c r="H27" s="14" t="n">
        <v>368000</v>
      </c>
      <c r="I27" s="14" t="n">
        <v>117086</v>
      </c>
      <c r="J27" s="17" t="n">
        <v>0.125</v>
      </c>
      <c r="K27" s="15" t="inlineStr">
        <is>
          <t>Renewed</t>
        </is>
      </c>
    </row>
    <row r="28">
      <c r="A28" s="7" t="inlineStr">
        <is>
          <t>ADM-TRV-ISB-2024-1023</t>
        </is>
      </c>
      <c r="B28" s="7" t="inlineStr">
        <is>
          <t>Islamabad Blue Area</t>
        </is>
      </c>
      <c r="C28" s="7" t="inlineStr">
        <is>
          <t>North</t>
        </is>
      </c>
      <c r="D28" s="7" t="inlineStr">
        <is>
          <t>Travel</t>
        </is>
      </c>
      <c r="E28" s="7" t="inlineStr">
        <is>
          <t>Bancassurance</t>
        </is>
      </c>
      <c r="F28" s="7" t="inlineStr">
        <is>
          <t>Nov-2024</t>
        </is>
      </c>
      <c r="G28" s="11" t="n">
        <v>65000000</v>
      </c>
      <c r="H28" s="11" t="n">
        <v>1586000</v>
      </c>
      <c r="I28" s="11" t="n">
        <v>625762</v>
      </c>
      <c r="J28" s="13" t="n">
        <v>0.15</v>
      </c>
      <c r="K28" s="7" t="inlineStr">
        <is>
          <t>Active</t>
        </is>
      </c>
    </row>
    <row r="29">
      <c r="A29" s="15" t="inlineStr">
        <is>
          <t>ADM-MTR-FSD-2024-1024</t>
        </is>
      </c>
      <c r="B29" s="15" t="inlineStr">
        <is>
          <t>Faisalabad</t>
        </is>
      </c>
      <c r="C29" s="15" t="inlineStr">
        <is>
          <t>Central</t>
        </is>
      </c>
      <c r="D29" s="15" t="inlineStr">
        <is>
          <t>Motor</t>
        </is>
      </c>
      <c r="E29" s="15" t="inlineStr">
        <is>
          <t>Corporate</t>
        </is>
      </c>
      <c r="F29" s="15" t="inlineStr">
        <is>
          <t>Dec-2024</t>
        </is>
      </c>
      <c r="G29" s="14" t="n">
        <v>90000000</v>
      </c>
      <c r="H29" s="14" t="n">
        <v>2304000</v>
      </c>
      <c r="I29" s="14" t="n">
        <v>2938527</v>
      </c>
      <c r="J29" s="17" t="n">
        <v>0.2</v>
      </c>
      <c r="K29" s="15" t="inlineStr">
        <is>
          <t>Renewed</t>
        </is>
      </c>
    </row>
    <row r="30">
      <c r="A30" s="7" t="inlineStr">
        <is>
          <t>ADM-HLT-MUL-2024-1025</t>
        </is>
      </c>
      <c r="B30" s="7" t="inlineStr">
        <is>
          <t>Multan</t>
        </is>
      </c>
      <c r="C30" s="7" t="inlineStr">
        <is>
          <t>Central</t>
        </is>
      </c>
      <c r="D30" s="7" t="inlineStr">
        <is>
          <t>Health</t>
        </is>
      </c>
      <c r="E30" s="7" t="inlineStr">
        <is>
          <t>Direct</t>
        </is>
      </c>
      <c r="F30" s="7" t="inlineStr">
        <is>
          <t>Jan-2024</t>
        </is>
      </c>
      <c r="G30" s="11" t="n">
        <v>2800000</v>
      </c>
      <c r="H30" s="11" t="n">
        <v>19000</v>
      </c>
      <c r="I30" s="11" t="n">
        <v>28171</v>
      </c>
      <c r="J30" s="13" t="n">
        <v>0.1</v>
      </c>
      <c r="K30" s="7" t="inlineStr">
        <is>
          <t>Lapsed</t>
        </is>
      </c>
    </row>
    <row r="31">
      <c r="A31" s="15" t="inlineStr">
        <is>
          <t>ADM-MSC-PEW-2024-1026</t>
        </is>
      </c>
      <c r="B31" s="15" t="inlineStr">
        <is>
          <t>Peshawar</t>
        </is>
      </c>
      <c r="C31" s="15" t="inlineStr">
        <is>
          <t>North</t>
        </is>
      </c>
      <c r="D31" s="15" t="inlineStr">
        <is>
          <t>Miscellaneous</t>
        </is>
      </c>
      <c r="E31" s="15" t="inlineStr">
        <is>
          <t>Agency</t>
        </is>
      </c>
      <c r="F31" s="15" t="inlineStr">
        <is>
          <t>Feb-2024</t>
        </is>
      </c>
      <c r="G31" s="14" t="n">
        <v>7500000</v>
      </c>
      <c r="H31" s="14" t="n">
        <v>193000</v>
      </c>
      <c r="I31" s="14" t="n">
        <v>17765</v>
      </c>
      <c r="J31" s="17" t="n">
        <v>0.2</v>
      </c>
      <c r="K31" s="15" t="inlineStr">
        <is>
          <t>Active</t>
        </is>
      </c>
    </row>
    <row r="32">
      <c r="A32" s="7" t="inlineStr">
        <is>
          <t>ADM-MAR-QTA-2024-1027</t>
        </is>
      </c>
      <c r="B32" s="7" t="inlineStr">
        <is>
          <t>Quetta</t>
        </is>
      </c>
      <c r="C32" s="7" t="inlineStr">
        <is>
          <t>South</t>
        </is>
      </c>
      <c r="D32" s="7" t="inlineStr">
        <is>
          <t>Marine Cargo</t>
        </is>
      </c>
      <c r="E32" s="7" t="inlineStr">
        <is>
          <t>Bancassurance</t>
        </is>
      </c>
      <c r="F32" s="7" t="inlineStr">
        <is>
          <t>Mar-2024</t>
        </is>
      </c>
      <c r="G32" s="11" t="n">
        <v>4500000</v>
      </c>
      <c r="H32" s="11" t="n">
        <v>43000</v>
      </c>
      <c r="I32" s="11" t="n">
        <v>32814</v>
      </c>
      <c r="J32" s="13" t="n">
        <v>0.2</v>
      </c>
      <c r="K32" s="7" t="inlineStr">
        <is>
          <t>Cancelled</t>
        </is>
      </c>
    </row>
    <row r="33">
      <c r="A33" s="15" t="inlineStr">
        <is>
          <t>ADM-ENG-HYD-2024-1028</t>
        </is>
      </c>
      <c r="B33" s="15" t="inlineStr">
        <is>
          <t>Hyderabad</t>
        </is>
      </c>
      <c r="C33" s="15" t="inlineStr">
        <is>
          <t>South</t>
        </is>
      </c>
      <c r="D33" s="15" t="inlineStr">
        <is>
          <t>Engineering</t>
        </is>
      </c>
      <c r="E33" s="15" t="inlineStr">
        <is>
          <t>Corporate</t>
        </is>
      </c>
      <c r="F33" s="15" t="inlineStr">
        <is>
          <t>Apr-2024</t>
        </is>
      </c>
      <c r="G33" s="14" t="n">
        <v>4500000</v>
      </c>
      <c r="H33" s="14" t="n">
        <v>27000</v>
      </c>
      <c r="I33" s="14" t="n">
        <v>22858</v>
      </c>
      <c r="J33" s="17" t="n">
        <v>0.2</v>
      </c>
      <c r="K33" s="15" t="inlineStr">
        <is>
          <t>Active</t>
        </is>
      </c>
    </row>
    <row r="34">
      <c r="A34" s="7" t="inlineStr">
        <is>
          <t>ADM-FIR-SKT-2024-1029</t>
        </is>
      </c>
      <c r="B34" s="7" t="inlineStr">
        <is>
          <t>Sialkot</t>
        </is>
      </c>
      <c r="C34" s="7" t="inlineStr">
        <is>
          <t>Central</t>
        </is>
      </c>
      <c r="D34" s="7" t="inlineStr">
        <is>
          <t>Fire &amp; Property</t>
        </is>
      </c>
      <c r="E34" s="7" t="inlineStr">
        <is>
          <t>Direct</t>
        </is>
      </c>
      <c r="F34" s="7" t="inlineStr">
        <is>
          <t>May-2024</t>
        </is>
      </c>
      <c r="G34" s="11" t="n">
        <v>65000000</v>
      </c>
      <c r="H34" s="11" t="n">
        <v>1527000</v>
      </c>
      <c r="I34" s="11" t="n">
        <v>181283</v>
      </c>
      <c r="J34" s="13" t="n">
        <v>0.2</v>
      </c>
      <c r="K34" s="7" t="inlineStr">
        <is>
          <t>Cancelled</t>
        </is>
      </c>
    </row>
    <row r="35">
      <c r="A35" s="15" t="inlineStr">
        <is>
          <t>ADM-TRV-RWP-2024-1030</t>
        </is>
      </c>
      <c r="B35" s="15" t="inlineStr">
        <is>
          <t>Rawalpindi</t>
        </is>
      </c>
      <c r="C35" s="15" t="inlineStr">
        <is>
          <t>North</t>
        </is>
      </c>
      <c r="D35" s="15" t="inlineStr">
        <is>
          <t>Travel</t>
        </is>
      </c>
      <c r="E35" s="15" t="inlineStr">
        <is>
          <t>Agency</t>
        </is>
      </c>
      <c r="F35" s="15" t="inlineStr">
        <is>
          <t>Jun-2024</t>
        </is>
      </c>
      <c r="G35" s="14" t="n">
        <v>90000000</v>
      </c>
      <c r="H35" s="14" t="n">
        <v>594000</v>
      </c>
      <c r="I35" s="14" t="n">
        <v>713976</v>
      </c>
      <c r="J35" s="17" t="n">
        <v>0.125</v>
      </c>
      <c r="K35" s="15" t="inlineStr">
        <is>
          <t>Lapsed</t>
        </is>
      </c>
    </row>
    <row r="36">
      <c r="A36" s="7" t="inlineStr">
        <is>
          <t>ADM-MTR-KHI-2024-1031</t>
        </is>
      </c>
      <c r="B36" s="7" t="inlineStr">
        <is>
          <t>Karachi Main</t>
        </is>
      </c>
      <c r="C36" s="7" t="inlineStr">
        <is>
          <t>South</t>
        </is>
      </c>
      <c r="D36" s="7" t="inlineStr">
        <is>
          <t>Motor</t>
        </is>
      </c>
      <c r="E36" s="7" t="inlineStr">
        <is>
          <t>Bancassurance</t>
        </is>
      </c>
      <c r="F36" s="7" t="inlineStr">
        <is>
          <t>Jul-2024</t>
        </is>
      </c>
      <c r="G36" s="11" t="n">
        <v>1500000</v>
      </c>
      <c r="H36" s="11" t="n">
        <v>10000</v>
      </c>
      <c r="I36" s="11" t="n">
        <v>3023</v>
      </c>
      <c r="J36" s="13" t="n">
        <v>0.1</v>
      </c>
      <c r="K36" s="7" t="inlineStr">
        <is>
          <t>Active</t>
        </is>
      </c>
    </row>
    <row r="37">
      <c r="A37" s="15" t="inlineStr">
        <is>
          <t>ADM-HLT-LHR-2024-1032</t>
        </is>
      </c>
      <c r="B37" s="15" t="inlineStr">
        <is>
          <t>Lahore Gulberg</t>
        </is>
      </c>
      <c r="C37" s="15" t="inlineStr">
        <is>
          <t>Central</t>
        </is>
      </c>
      <c r="D37" s="15" t="inlineStr">
        <is>
          <t>Health</t>
        </is>
      </c>
      <c r="E37" s="15" t="inlineStr">
        <is>
          <t>Corporate</t>
        </is>
      </c>
      <c r="F37" s="15" t="inlineStr">
        <is>
          <t>Aug-2024</t>
        </is>
      </c>
      <c r="G37" s="14" t="n">
        <v>2800000</v>
      </c>
      <c r="H37" s="14" t="n">
        <v>53000</v>
      </c>
      <c r="I37" s="14" t="n">
        <v>77663</v>
      </c>
      <c r="J37" s="17" t="n">
        <v>0.2</v>
      </c>
      <c r="K37" s="15" t="inlineStr">
        <is>
          <t>Cancelled</t>
        </is>
      </c>
    </row>
    <row r="38">
      <c r="A38" s="7" t="inlineStr">
        <is>
          <t>ADM-MSC-ISB-2024-1033</t>
        </is>
      </c>
      <c r="B38" s="7" t="inlineStr">
        <is>
          <t>Islamabad Blue Area</t>
        </is>
      </c>
      <c r="C38" s="7" t="inlineStr">
        <is>
          <t>North</t>
        </is>
      </c>
      <c r="D38" s="7" t="inlineStr">
        <is>
          <t>Miscellaneous</t>
        </is>
      </c>
      <c r="E38" s="7" t="inlineStr">
        <is>
          <t>Direct</t>
        </is>
      </c>
      <c r="F38" s="7" t="inlineStr">
        <is>
          <t>Sep-2024</t>
        </is>
      </c>
      <c r="G38" s="11" t="n">
        <v>7500000</v>
      </c>
      <c r="H38" s="11" t="n">
        <v>134000</v>
      </c>
      <c r="I38" s="11" t="n">
        <v>126532</v>
      </c>
      <c r="J38" s="13" t="n">
        <v>0.125</v>
      </c>
      <c r="K38" s="7" t="inlineStr">
        <is>
          <t>Renewed</t>
        </is>
      </c>
    </row>
    <row r="39">
      <c r="A39" s="15" t="inlineStr">
        <is>
          <t>ADM-MAR-FSD-2024-1034</t>
        </is>
      </c>
      <c r="B39" s="15" t="inlineStr">
        <is>
          <t>Faisalabad</t>
        </is>
      </c>
      <c r="C39" s="15" t="inlineStr">
        <is>
          <t>Central</t>
        </is>
      </c>
      <c r="D39" s="15" t="inlineStr">
        <is>
          <t>Marine Cargo</t>
        </is>
      </c>
      <c r="E39" s="15" t="inlineStr">
        <is>
          <t>Agency</t>
        </is>
      </c>
      <c r="F39" s="15" t="inlineStr">
        <is>
          <t>Oct-2024</t>
        </is>
      </c>
      <c r="G39" s="14" t="n">
        <v>40000000</v>
      </c>
      <c r="H39" s="14" t="n">
        <v>460000</v>
      </c>
      <c r="I39" s="14" t="n">
        <v>187356</v>
      </c>
      <c r="J39" s="17" t="n">
        <v>0.175</v>
      </c>
      <c r="K39" s="15" t="inlineStr">
        <is>
          <t>Cancelled</t>
        </is>
      </c>
    </row>
    <row r="40">
      <c r="A40" s="7" t="inlineStr">
        <is>
          <t>ADM-ENG-MUL-2024-1035</t>
        </is>
      </c>
      <c r="B40" s="7" t="inlineStr">
        <is>
          <t>Multan</t>
        </is>
      </c>
      <c r="C40" s="7" t="inlineStr">
        <is>
          <t>Central</t>
        </is>
      </c>
      <c r="D40" s="7" t="inlineStr">
        <is>
          <t>Engineering</t>
        </is>
      </c>
      <c r="E40" s="7" t="inlineStr">
        <is>
          <t>Bancassurance</t>
        </is>
      </c>
      <c r="F40" s="7" t="inlineStr">
        <is>
          <t>Nov-2024</t>
        </is>
      </c>
      <c r="G40" s="11" t="n">
        <v>7500000</v>
      </c>
      <c r="H40" s="11" t="n">
        <v>102000</v>
      </c>
      <c r="I40" s="11" t="n">
        <v>94948</v>
      </c>
      <c r="J40" s="13" t="n">
        <v>0.175</v>
      </c>
      <c r="K40" s="7" t="inlineStr">
        <is>
          <t>Renewed</t>
        </is>
      </c>
    </row>
    <row r="41">
      <c r="A41" s="15" t="inlineStr">
        <is>
          <t>ADM-FIR-PEW-2024-1036</t>
        </is>
      </c>
      <c r="B41" s="15" t="inlineStr">
        <is>
          <t>Peshawar</t>
        </is>
      </c>
      <c r="C41" s="15" t="inlineStr">
        <is>
          <t>North</t>
        </is>
      </c>
      <c r="D41" s="15" t="inlineStr">
        <is>
          <t>Fire &amp; Property</t>
        </is>
      </c>
      <c r="E41" s="15" t="inlineStr">
        <is>
          <t>Corporate</t>
        </is>
      </c>
      <c r="F41" s="15" t="inlineStr">
        <is>
          <t>Dec-2024</t>
        </is>
      </c>
      <c r="G41" s="14" t="n">
        <v>4500000</v>
      </c>
      <c r="H41" s="14" t="n">
        <v>113000</v>
      </c>
      <c r="I41" s="14" t="n">
        <v>125166</v>
      </c>
      <c r="J41" s="17" t="n">
        <v>0.125</v>
      </c>
      <c r="K41" s="15" t="inlineStr">
        <is>
          <t>Active</t>
        </is>
      </c>
    </row>
    <row r="43">
      <c r="A43" s="9" t="inlineStr">
        <is>
          <t>Table B — Names to create</t>
        </is>
      </c>
    </row>
    <row r="44" ht="30" customHeight="1">
      <c r="A44" s="10" t="inlineStr">
        <is>
          <t>Suggested Name</t>
        </is>
      </c>
      <c r="B44" s="10" t="inlineStr">
        <is>
          <t>Applies to</t>
        </is>
      </c>
      <c r="C44" s="10" t="inlineStr">
        <is>
          <t>Scope</t>
        </is>
      </c>
    </row>
    <row r="45">
      <c r="A45" s="7" t="inlineStr">
        <is>
          <t>Policy_No</t>
        </is>
      </c>
      <c r="B45" s="7" t="inlineStr">
        <is>
          <t>Policy No column</t>
        </is>
      </c>
      <c r="C45" s="7" t="inlineStr">
        <is>
          <t>Workbook</t>
        </is>
      </c>
    </row>
    <row r="46">
      <c r="A46" s="15" t="inlineStr">
        <is>
          <t>Branch_List</t>
        </is>
      </c>
      <c r="B46" s="15" t="inlineStr">
        <is>
          <t>Branch column</t>
        </is>
      </c>
      <c r="C46" s="15" t="inlineStr">
        <is>
          <t>Workbook</t>
        </is>
      </c>
    </row>
    <row r="47">
      <c r="A47" s="7" t="inlineStr">
        <is>
          <t>Product_List</t>
        </is>
      </c>
      <c r="B47" s="7" t="inlineStr">
        <is>
          <t>Product column</t>
        </is>
      </c>
      <c r="C47" s="7" t="inlineStr">
        <is>
          <t>Workbook</t>
        </is>
      </c>
    </row>
    <row r="48">
      <c r="A48" s="15" t="inlineStr">
        <is>
          <t>Gross_Premium</t>
        </is>
      </c>
      <c r="B48" s="15" t="inlineStr">
        <is>
          <t>Gross Premium column</t>
        </is>
      </c>
      <c r="C48" s="15" t="inlineStr">
        <is>
          <t>Workbook</t>
        </is>
      </c>
    </row>
    <row r="49">
      <c r="A49" s="7" t="inlineStr">
        <is>
          <t>Claims_Paid</t>
        </is>
      </c>
      <c r="B49" s="7" t="inlineStr">
        <is>
          <t>Claims Paid column</t>
        </is>
      </c>
      <c r="C49" s="7" t="inlineStr">
        <is>
          <t>Workbook</t>
        </is>
      </c>
    </row>
    <row r="50">
      <c r="A50" s="15" t="inlineStr">
        <is>
          <t>FIF_Rate</t>
        </is>
      </c>
      <c r="B50" s="15" t="inlineStr">
        <is>
          <t>Single rate cell</t>
        </is>
      </c>
      <c r="C50" s="15" t="inlineStr">
        <is>
          <t>Workbook</t>
        </is>
      </c>
    </row>
    <row r="51">
      <c r="A51" s="7" t="inlineStr">
        <is>
          <t>Report_Branch</t>
        </is>
      </c>
      <c r="B51" s="7" t="inlineStr">
        <is>
          <t>Criteria input cell</t>
        </is>
      </c>
      <c r="C51" s="7" t="inlineStr">
        <is>
          <t>Worksheet only</t>
        </is>
      </c>
    </row>
    <row r="53">
      <c r="A53" s="9" t="inlineStr">
        <is>
          <t>Table C — Constants for the model</t>
        </is>
      </c>
    </row>
    <row r="54" ht="30" customHeight="1">
      <c r="A54" s="10" t="inlineStr">
        <is>
          <t>Item</t>
        </is>
      </c>
      <c r="B54" s="10" t="inlineStr">
        <is>
          <t>Value</t>
        </is>
      </c>
    </row>
    <row r="55">
      <c r="A55" s="7" t="inlineStr">
        <is>
          <t>Federal Insurance Fee rate</t>
        </is>
      </c>
      <c r="B55" s="43" t="n">
        <v>0.01</v>
      </c>
    </row>
    <row r="56">
      <c r="A56" s="15" t="inlineStr">
        <is>
          <t>Target loss ratio</t>
        </is>
      </c>
      <c r="B56" s="42" t="n">
        <v>0.65</v>
      </c>
    </row>
    <row r="57">
      <c r="A57" s="7" t="inlineStr">
        <is>
          <t>Reporting currency</t>
        </is>
      </c>
      <c r="B57" s="7" t="inlineStr">
        <is>
          <t>PKR</t>
        </is>
      </c>
    </row>
    <row r="59">
      <c r="A5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59.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Readability rebuild of the MIS reporting model</t>
        </is>
      </c>
    </row>
    <row r="3">
      <c r="A3" s="21" t="inlineStr">
        <is>
          <t>Prepared for:</t>
        </is>
      </c>
      <c r="B3" s="22" t="inlineStr">
        <is>
          <t>Head of Internal Audit</t>
        </is>
      </c>
    </row>
    <row r="4">
      <c r="A4" s="21" t="inlineStr">
        <is>
          <t>Prepared by:</t>
        </is>
      </c>
      <c r="B4" s="23" t="n"/>
    </row>
    <row r="5">
      <c r="A5" s="21" t="inlineStr">
        <is>
          <t>Reporting date:</t>
        </is>
      </c>
      <c r="B5" s="22" t="inlineStr">
        <is>
          <t>As at reporting date shown on the dataset</t>
        </is>
      </c>
    </row>
    <row r="7" ht="44" customHeight="1">
      <c r="A7" s="24" t="inlineStr">
        <is>
          <t>The monthly MIS workbook is handed to a different analyst each month and audit cannot review it. Formulas read like SUMIFS('Data 2024'!$H$5:$H$2000,'Data 2024'!$B$5:$B$2000,$A12) and the reviewer has to open three sheets to work out what is being summed. Audit has asked for the model to be made readable before the year-end review.</t>
        </is>
      </c>
    </row>
    <row r="9">
      <c r="A9" s="25" t="inlineStr">
        <is>
          <t>Source data: '2.12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Readability rebuild of the MIS reporting model</t>
        </is>
      </c>
      <c r="C13" s="38" t="inlineStr">
        <is>
          <t>The model rebuilt with named ranges: total premium, total claims and a branch premium figure, each written so a reviewer can read the formula and understand it without opening the source sheet. Names as listed in the naming table.</t>
        </is>
      </c>
      <c r="D13" s="37" t="inlineStr">
        <is>
          <t>Head of Internal Audit</t>
        </is>
      </c>
      <c r="E13" s="31" t="n"/>
    </row>
    <row r="14" ht="52" customHeight="1">
      <c r="A14" s="35" t="n">
        <v>2</v>
      </c>
      <c r="B14" s="36" t="inlineStr">
        <is>
          <t>Named constants for the statutory rates</t>
        </is>
      </c>
      <c r="C14" s="38" t="inlineStr">
        <is>
          <t>The fee rate held as a named constant used by every calculation that needs it, plus a one-line note on where the value lives and how it is changed.</t>
        </is>
      </c>
      <c r="D14" s="37" t="inlineStr">
        <is>
          <t>Finance Manager — Technical Accounts</t>
        </is>
      </c>
      <c r="E14" s="31" t="n"/>
    </row>
    <row r="15" ht="52" customHeight="1">
      <c r="A15" s="35" t="n">
        <v>3</v>
      </c>
      <c r="B15" s="36" t="inlineStr">
        <is>
          <t>Name Manager clean-up before handover</t>
        </is>
      </c>
      <c r="C15" s="38" t="inlineStr">
        <is>
          <t>A clean-up record: names deleted, names renamed, and confirmation that renaming a name updated every formula using it. Include the scope of each surviving name.</t>
        </is>
      </c>
      <c r="D15" s="37" t="inlineStr">
        <is>
          <t>Head of MIS</t>
        </is>
      </c>
      <c r="E15" s="31" t="n"/>
    </row>
    <row r="16" ht="52" customHeight="1">
      <c r="A16" s="35" t="n">
        <v>4</v>
      </c>
      <c r="B16" s="36" t="inlineStr">
        <is>
          <t>Naming standard for the reporting team</t>
        </is>
      </c>
      <c r="C16" s="38" t="inlineStr">
        <is>
          <t>A short naming standard for the team: the three rules that make a name invalid, when to use workbook scope against worksheet scope, and a worked example of each from this workbook.</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60.xml><?xml version="1.0" encoding="utf-8"?>
<worksheet xmlns="http://schemas.openxmlformats.org/spreadsheetml/2006/main">
  <sheetPr>
    <tabColor rgb="001F3864"/>
    <outlinePr summaryBelow="1" summaryRight="1"/>
    <pageSetUpPr/>
  </sheetPr>
  <dimension ref="A1:F39"/>
  <sheetViews>
    <sheetView showGridLines="0" workbookViewId="0">
      <pane ySplit="5" topLeftCell="A6" activePane="bottomLeft" state="frozen"/>
      <selection pane="bottomLeft" activeCell="A1" sqref="A1"/>
    </sheetView>
  </sheetViews>
  <sheetFormatPr baseColWidth="8" defaultRowHeight="15"/>
  <cols>
    <col width="18" customWidth="1" min="1" max="1"/>
    <col width="34" customWidth="1" min="2" max="2"/>
    <col width="28" customWidth="1" min="3" max="3"/>
    <col width="18" customWidth="1" min="4" max="4"/>
    <col width="20" customWidth="1" min="5" max="5"/>
    <col width="20" customWidth="1" min="6" max="6"/>
  </cols>
  <sheetData>
    <row r="1" ht="26" customHeight="1">
      <c r="A1" s="1" t="inlineStr">
        <is>
          <t>Dataset 2.13  —  Dynamic Named Ranges Using OFFSET and COUNTA</t>
        </is>
      </c>
    </row>
    <row r="2" ht="16" customHeight="1">
      <c r="A2" s="2" t="inlineStr">
        <is>
          <t>Session 2: Array Formulas, Advanced Logic &amp; Named Ranges | Part C: Named Ranges and Dynamic Ranges   |   Adamjee Assurance Company Limited (Pakistan) — training data, figures in PKR</t>
        </is>
      </c>
    </row>
    <row r="4">
      <c r="A4" s="9" t="inlineStr">
        <is>
          <t>Table A — Daily policy feed (rows are appended each morning)</t>
        </is>
      </c>
    </row>
    <row r="5" ht="30" customHeight="1">
      <c r="A5" s="10" t="inlineStr">
        <is>
          <t>Policy No</t>
        </is>
      </c>
      <c r="B5" s="10" t="inlineStr">
        <is>
          <t>Booking Date</t>
        </is>
      </c>
      <c r="C5" s="10" t="inlineStr">
        <is>
          <t>Branch</t>
        </is>
      </c>
      <c r="D5" s="10" t="inlineStr">
        <is>
          <t>Product</t>
        </is>
      </c>
      <c r="E5" s="10" t="inlineStr">
        <is>
          <t>Gross Premium (PKR)</t>
        </is>
      </c>
      <c r="F5" s="10" t="inlineStr">
        <is>
          <t>Sum Insured (PKR)</t>
        </is>
      </c>
    </row>
    <row r="6">
      <c r="A6" s="7" t="inlineStr">
        <is>
          <t>ADM-FIR-KHI-2024-1001</t>
        </is>
      </c>
      <c r="B6" s="40" t="n">
        <v>45536</v>
      </c>
      <c r="C6" s="7" t="inlineStr">
        <is>
          <t>Karachi Main</t>
        </is>
      </c>
      <c r="D6" s="7" t="inlineStr">
        <is>
          <t>Fire &amp; Property</t>
        </is>
      </c>
      <c r="E6" s="11" t="n">
        <v>96000</v>
      </c>
      <c r="F6" s="11" t="n">
        <v>4500000</v>
      </c>
    </row>
    <row r="7">
      <c r="A7" s="15" t="inlineStr">
        <is>
          <t>ADM-TRV-LHR-2024-1002</t>
        </is>
      </c>
      <c r="B7" s="41" t="n">
        <v>45537</v>
      </c>
      <c r="C7" s="15" t="inlineStr">
        <is>
          <t>Lahore Gulberg</t>
        </is>
      </c>
      <c r="D7" s="15" t="inlineStr">
        <is>
          <t>Travel</t>
        </is>
      </c>
      <c r="E7" s="14" t="n">
        <v>201000</v>
      </c>
      <c r="F7" s="14" t="n">
        <v>12000000</v>
      </c>
    </row>
    <row r="8">
      <c r="A8" s="7" t="inlineStr">
        <is>
          <t>ADM-MTR-ISB-2024-1003</t>
        </is>
      </c>
      <c r="B8" s="40" t="n">
        <v>45538</v>
      </c>
      <c r="C8" s="7" t="inlineStr">
        <is>
          <t>Islamabad Blue Area</t>
        </is>
      </c>
      <c r="D8" s="7" t="inlineStr">
        <is>
          <t>Motor</t>
        </is>
      </c>
      <c r="E8" s="11" t="n">
        <v>1397000</v>
      </c>
      <c r="F8" s="11" t="n">
        <v>65000000</v>
      </c>
    </row>
    <row r="9">
      <c r="A9" s="15" t="inlineStr">
        <is>
          <t>ADM-HLT-FSD-2024-1004</t>
        </is>
      </c>
      <c r="B9" s="41" t="n">
        <v>45539</v>
      </c>
      <c r="C9" s="15" t="inlineStr">
        <is>
          <t>Faisalabad</t>
        </is>
      </c>
      <c r="D9" s="15" t="inlineStr">
        <is>
          <t>Health</t>
        </is>
      </c>
      <c r="E9" s="14" t="n">
        <v>305000</v>
      </c>
      <c r="F9" s="14" t="n">
        <v>18500000</v>
      </c>
    </row>
    <row r="10">
      <c r="A10" s="7" t="inlineStr">
        <is>
          <t>ADM-MSC-MUL-2024-1005</t>
        </is>
      </c>
      <c r="B10" s="40" t="n">
        <v>45540</v>
      </c>
      <c r="C10" s="7" t="inlineStr">
        <is>
          <t>Multan</t>
        </is>
      </c>
      <c r="D10" s="7" t="inlineStr">
        <is>
          <t>Miscellaneous</t>
        </is>
      </c>
      <c r="E10" s="11" t="n">
        <v>75000</v>
      </c>
      <c r="F10" s="11" t="n">
        <v>4500000</v>
      </c>
    </row>
    <row r="11">
      <c r="A11" s="15" t="inlineStr">
        <is>
          <t>ADM-MAR-PEW-2024-1006</t>
        </is>
      </c>
      <c r="B11" s="41" t="n">
        <v>45541</v>
      </c>
      <c r="C11" s="15" t="inlineStr">
        <is>
          <t>Peshawar</t>
        </is>
      </c>
      <c r="D11" s="15" t="inlineStr">
        <is>
          <t>Marine Cargo</t>
        </is>
      </c>
      <c r="E11" s="14" t="n">
        <v>380000</v>
      </c>
      <c r="F11" s="14" t="n">
        <v>25000000</v>
      </c>
    </row>
    <row r="12">
      <c r="A12" s="7" t="inlineStr">
        <is>
          <t>ADM-ENG-QTA-2024-1007</t>
        </is>
      </c>
      <c r="B12" s="40" t="n">
        <v>45542</v>
      </c>
      <c r="C12" s="7" t="inlineStr">
        <is>
          <t>Quetta</t>
        </is>
      </c>
      <c r="D12" s="7" t="inlineStr">
        <is>
          <t>Engineering</t>
        </is>
      </c>
      <c r="E12" s="11" t="n">
        <v>227000</v>
      </c>
      <c r="F12" s="11" t="n">
        <v>18500000</v>
      </c>
    </row>
    <row r="13">
      <c r="A13" s="15" t="inlineStr">
        <is>
          <t>ADM-FIR-HYD-2024-1008</t>
        </is>
      </c>
      <c r="B13" s="41" t="n">
        <v>45543</v>
      </c>
      <c r="C13" s="15" t="inlineStr">
        <is>
          <t>Hyderabad</t>
        </is>
      </c>
      <c r="D13" s="15" t="inlineStr">
        <is>
          <t>Fire &amp; Property</t>
        </is>
      </c>
      <c r="E13" s="14" t="n">
        <v>290000</v>
      </c>
      <c r="F13" s="14" t="n">
        <v>25000000</v>
      </c>
    </row>
    <row r="14">
      <c r="A14" s="7" t="inlineStr">
        <is>
          <t>ADM-TRV-SKT-2024-1009</t>
        </is>
      </c>
      <c r="B14" s="40" t="n">
        <v>45544</v>
      </c>
      <c r="C14" s="7" t="inlineStr">
        <is>
          <t>Sialkot</t>
        </is>
      </c>
      <c r="D14" s="7" t="inlineStr">
        <is>
          <t>Travel</t>
        </is>
      </c>
      <c r="E14" s="11" t="n">
        <v>37000</v>
      </c>
      <c r="F14" s="11" t="n">
        <v>7500000</v>
      </c>
    </row>
    <row r="15">
      <c r="A15" s="15" t="inlineStr">
        <is>
          <t>ADM-MTR-RWP-2024-1010</t>
        </is>
      </c>
      <c r="B15" s="41" t="n">
        <v>45545</v>
      </c>
      <c r="C15" s="15" t="inlineStr">
        <is>
          <t>Rawalpindi</t>
        </is>
      </c>
      <c r="D15" s="15" t="inlineStr">
        <is>
          <t>Motor</t>
        </is>
      </c>
      <c r="E15" s="14" t="n">
        <v>760000</v>
      </c>
      <c r="F15" s="14" t="n">
        <v>65000000</v>
      </c>
    </row>
    <row r="16">
      <c r="A16" s="7" t="inlineStr">
        <is>
          <t>ADM-HLT-KHI-2024-1011</t>
        </is>
      </c>
      <c r="B16" s="40" t="n">
        <v>45546</v>
      </c>
      <c r="C16" s="7" t="inlineStr">
        <is>
          <t>Karachi Main</t>
        </is>
      </c>
      <c r="D16" s="7" t="inlineStr">
        <is>
          <t>Health</t>
        </is>
      </c>
      <c r="E16" s="11" t="n">
        <v>603000</v>
      </c>
      <c r="F16" s="11" t="n">
        <v>90000000</v>
      </c>
    </row>
    <row r="17">
      <c r="A17" s="15" t="inlineStr">
        <is>
          <t>ADM-MSC-LHR-2024-1012</t>
        </is>
      </c>
      <c r="B17" s="41" t="n">
        <v>45547</v>
      </c>
      <c r="C17" s="15" t="inlineStr">
        <is>
          <t>Lahore Gulberg</t>
        </is>
      </c>
      <c r="D17" s="15" t="inlineStr">
        <is>
          <t>Miscellaneous</t>
        </is>
      </c>
      <c r="E17" s="14" t="n">
        <v>512000</v>
      </c>
      <c r="F17" s="14" t="n">
        <v>40000000</v>
      </c>
    </row>
    <row r="18">
      <c r="A18" s="7" t="inlineStr">
        <is>
          <t>ADM-MAR-ISB-2024-1013</t>
        </is>
      </c>
      <c r="B18" s="40" t="n">
        <v>45548</v>
      </c>
      <c r="C18" s="7" t="inlineStr">
        <is>
          <t>Islamabad Blue Area</t>
        </is>
      </c>
      <c r="D18" s="7" t="inlineStr">
        <is>
          <t>Marine Cargo</t>
        </is>
      </c>
      <c r="E18" s="11" t="n">
        <v>2169000</v>
      </c>
      <c r="F18" s="11" t="n">
        <v>90000000</v>
      </c>
    </row>
    <row r="19">
      <c r="A19" s="15" t="inlineStr">
        <is>
          <t>ADM-ENG-FSD-2024-1014</t>
        </is>
      </c>
      <c r="B19" s="41" t="n">
        <v>45549</v>
      </c>
      <c r="C19" s="15" t="inlineStr">
        <is>
          <t>Faisalabad</t>
        </is>
      </c>
      <c r="D19" s="15" t="inlineStr">
        <is>
          <t>Engineering</t>
        </is>
      </c>
      <c r="E19" s="14" t="n">
        <v>1089000</v>
      </c>
      <c r="F19" s="14" t="n">
        <v>90000000</v>
      </c>
    </row>
    <row r="20">
      <c r="A20" s="7" t="inlineStr">
        <is>
          <t>ADM-FIR-MUL-2024-1015</t>
        </is>
      </c>
      <c r="B20" s="40" t="n">
        <v>45550</v>
      </c>
      <c r="C20" s="7" t="inlineStr">
        <is>
          <t>Multan</t>
        </is>
      </c>
      <c r="D20" s="7" t="inlineStr">
        <is>
          <t>Fire &amp; Property</t>
        </is>
      </c>
      <c r="E20" s="11" t="n">
        <v>484000</v>
      </c>
      <c r="F20" s="11" t="n">
        <v>18500000</v>
      </c>
    </row>
    <row r="21">
      <c r="A21" s="15" t="inlineStr">
        <is>
          <t>ADM-TRV-PEW-2024-1016</t>
        </is>
      </c>
      <c r="B21" s="41" t="n">
        <v>45551</v>
      </c>
      <c r="C21" s="15" t="inlineStr">
        <is>
          <t>Peshawar</t>
        </is>
      </c>
      <c r="D21" s="15" t="inlineStr">
        <is>
          <t>Travel</t>
        </is>
      </c>
      <c r="E21" s="14" t="n">
        <v>74000</v>
      </c>
      <c r="F21" s="14" t="n">
        <v>2800000</v>
      </c>
    </row>
    <row r="22">
      <c r="A22" s="7" t="inlineStr">
        <is>
          <t>ADM-MTR-QTA-2024-1017</t>
        </is>
      </c>
      <c r="B22" s="40" t="n">
        <v>45552</v>
      </c>
      <c r="C22" s="7" t="inlineStr">
        <is>
          <t>Quetta</t>
        </is>
      </c>
      <c r="D22" s="7" t="inlineStr">
        <is>
          <t>Motor</t>
        </is>
      </c>
      <c r="E22" s="11" t="n">
        <v>835000</v>
      </c>
      <c r="F22" s="11" t="n">
        <v>40000000</v>
      </c>
    </row>
    <row r="23">
      <c r="A23" s="15" t="inlineStr">
        <is>
          <t>ADM-HLT-HYD-2024-1018</t>
        </is>
      </c>
      <c r="B23" s="41" t="n">
        <v>45553</v>
      </c>
      <c r="C23" s="15" t="inlineStr">
        <is>
          <t>Hyderabad</t>
        </is>
      </c>
      <c r="D23" s="15" t="inlineStr">
        <is>
          <t>Health</t>
        </is>
      </c>
      <c r="E23" s="14" t="n">
        <v>174000</v>
      </c>
      <c r="F23" s="14" t="n">
        <v>7500000</v>
      </c>
    </row>
    <row r="24">
      <c r="A24" s="7" t="inlineStr">
        <is>
          <t>ADM-MSC-SKT-2024-1019</t>
        </is>
      </c>
      <c r="B24" s="40" t="n">
        <v>45554</v>
      </c>
      <c r="C24" s="7" t="inlineStr">
        <is>
          <t>Sialkot</t>
        </is>
      </c>
      <c r="D24" s="7" t="inlineStr">
        <is>
          <t>Miscellaneous</t>
        </is>
      </c>
      <c r="E24" s="11" t="n">
        <v>927000</v>
      </c>
      <c r="F24" s="11" t="n">
        <v>90000000</v>
      </c>
    </row>
    <row r="25">
      <c r="A25" s="15" t="inlineStr">
        <is>
          <t>ADM-MAR-RWP-2024-1020</t>
        </is>
      </c>
      <c r="B25" s="41" t="n">
        <v>45555</v>
      </c>
      <c r="C25" s="15" t="inlineStr">
        <is>
          <t>Rawalpindi</t>
        </is>
      </c>
      <c r="D25" s="15" t="inlineStr">
        <is>
          <t>Marine Cargo</t>
        </is>
      </c>
      <c r="E25" s="14" t="n">
        <v>181000</v>
      </c>
      <c r="F25" s="14" t="n">
        <v>7500000</v>
      </c>
    </row>
    <row r="26">
      <c r="A26" s="7" t="inlineStr">
        <is>
          <t>ADM-ENG-KHI-2024-1021</t>
        </is>
      </c>
      <c r="B26" s="40" t="n">
        <v>45556</v>
      </c>
      <c r="C26" s="7" t="inlineStr">
        <is>
          <t>Karachi Main</t>
        </is>
      </c>
      <c r="D26" s="7" t="inlineStr">
        <is>
          <t>Engineering</t>
        </is>
      </c>
      <c r="E26" s="11" t="n">
        <v>78000</v>
      </c>
      <c r="F26" s="11" t="n">
        <v>4500000</v>
      </c>
    </row>
    <row r="27">
      <c r="A27" s="15" t="inlineStr">
        <is>
          <t>ADM-FIR-LHR-2024-1022</t>
        </is>
      </c>
      <c r="B27" s="41" t="n">
        <v>45557</v>
      </c>
      <c r="C27" s="15" t="inlineStr">
        <is>
          <t>Lahore Gulberg</t>
        </is>
      </c>
      <c r="D27" s="15" t="inlineStr">
        <is>
          <t>Fire &amp; Property</t>
        </is>
      </c>
      <c r="E27" s="14" t="n">
        <v>368000</v>
      </c>
      <c r="F27" s="14" t="n">
        <v>40000000</v>
      </c>
    </row>
    <row r="28">
      <c r="A28" s="7" t="inlineStr">
        <is>
          <t>ADM-TRV-ISB-2024-1023</t>
        </is>
      </c>
      <c r="B28" s="40" t="n">
        <v>45558</v>
      </c>
      <c r="C28" s="7" t="inlineStr">
        <is>
          <t>Islamabad Blue Area</t>
        </is>
      </c>
      <c r="D28" s="7" t="inlineStr">
        <is>
          <t>Travel</t>
        </is>
      </c>
      <c r="E28" s="11" t="n">
        <v>1586000</v>
      </c>
      <c r="F28" s="11" t="n">
        <v>65000000</v>
      </c>
    </row>
    <row r="29">
      <c r="A29" s="15" t="inlineStr">
        <is>
          <t>ADM-MTR-FSD-2024-1024</t>
        </is>
      </c>
      <c r="B29" s="41" t="n">
        <v>45559</v>
      </c>
      <c r="C29" s="15" t="inlineStr">
        <is>
          <t>Faisalabad</t>
        </is>
      </c>
      <c r="D29" s="15" t="inlineStr">
        <is>
          <t>Motor</t>
        </is>
      </c>
      <c r="E29" s="14" t="n">
        <v>2304000</v>
      </c>
      <c r="F29" s="14" t="n">
        <v>90000000</v>
      </c>
    </row>
    <row r="30">
      <c r="A30" s="7" t="inlineStr">
        <is>
          <t>ADM-HLT-MUL-2024-1025</t>
        </is>
      </c>
      <c r="B30" s="40" t="n">
        <v>45560</v>
      </c>
      <c r="C30" s="7" t="inlineStr">
        <is>
          <t>Multan</t>
        </is>
      </c>
      <c r="D30" s="7" t="inlineStr">
        <is>
          <t>Health</t>
        </is>
      </c>
      <c r="E30" s="11" t="n">
        <v>19000</v>
      </c>
      <c r="F30" s="11" t="n">
        <v>2800000</v>
      </c>
    </row>
    <row r="32">
      <c r="A32" s="9" t="inlineStr">
        <is>
          <t>Table B — Dynamic range definitions to build</t>
        </is>
      </c>
    </row>
    <row r="33" ht="30" customHeight="1">
      <c r="A33" s="10" t="inlineStr">
        <is>
          <t>Name</t>
        </is>
      </c>
      <c r="B33" s="10" t="inlineStr">
        <is>
          <t>Should cover</t>
        </is>
      </c>
      <c r="C33" s="10" t="inlineStr">
        <is>
          <t>Note</t>
        </is>
      </c>
    </row>
    <row r="34">
      <c r="A34" s="7" t="inlineStr">
        <is>
          <t>Dyn_Premium</t>
        </is>
      </c>
      <c r="B34" s="7" t="inlineStr">
        <is>
          <t>Gross Premium column, growing</t>
        </is>
      </c>
      <c r="C34" s="7" t="inlineStr">
        <is>
          <t>Single column</t>
        </is>
      </c>
    </row>
    <row r="35">
      <c r="A35" s="15" t="inlineStr">
        <is>
          <t>Dyn_Branch</t>
        </is>
      </c>
      <c r="B35" s="15" t="inlineStr">
        <is>
          <t>Branch column, growing</t>
        </is>
      </c>
      <c r="C35" s="15" t="inlineStr">
        <is>
          <t>Single column</t>
        </is>
      </c>
    </row>
    <row r="36">
      <c r="A36" s="7" t="inlineStr">
        <is>
          <t>Dyn_Data</t>
        </is>
      </c>
      <c r="B36" s="7" t="inlineStr">
        <is>
          <t>The whole table, growing</t>
        </is>
      </c>
      <c r="C36" s="7" t="inlineStr">
        <is>
          <t>Multi column</t>
        </is>
      </c>
    </row>
    <row r="37">
      <c r="A37" s="15" t="inlineStr">
        <is>
          <t>Dyn_Dates</t>
        </is>
      </c>
      <c r="B37" s="15" t="inlineStr">
        <is>
          <t>Booking Date column, growing</t>
        </is>
      </c>
      <c r="C37" s="15" t="inlineStr">
        <is>
          <t>Feeds the dashboard timeline</t>
        </is>
      </c>
    </row>
    <row r="39">
      <c r="A3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6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Self-extending dashboard ranges</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New policies are appended to the data sheet every morning. Every named range and pivot source stops at yesterday's last row, so the dashboard has been quietly under-reporting since the range was last extended in August. Nobody noticed until the branch challenged its own figure.</t>
        </is>
      </c>
    </row>
    <row r="9">
      <c r="A9" s="25" t="inlineStr">
        <is>
          <t>Source data: '2.13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Self-extending dashboard ranges</t>
        </is>
      </c>
      <c r="C13" s="38" t="inlineStr">
        <is>
          <t>Dynamic named ranges for the premium column, the branch column, the date column and the whole table, each growing automatically as rows are appended. Plus a total premium cell built on the dynamic range.</t>
        </is>
      </c>
      <c r="D13" s="37" t="inlineStr">
        <is>
          <t>Head of MIS</t>
        </is>
      </c>
      <c r="E13" s="31" t="n"/>
    </row>
    <row r="14" ht="52" customHeight="1">
      <c r="A14" s="35" t="n">
        <v>2</v>
      </c>
      <c r="B14" s="36" t="inlineStr">
        <is>
          <t>Acceptance test — three new policies</t>
        </is>
      </c>
      <c r="C14" s="38" t="inlineStr">
        <is>
          <t>Test evidence: the total premium before, three new policy rows added, the total after, and confirmation that no formula, name or range was edited between the two readings.</t>
        </is>
      </c>
      <c r="D14" s="37" t="inlineStr">
        <is>
          <t>Head of Internal Audit</t>
        </is>
      </c>
      <c r="E14" s="31" t="n"/>
    </row>
    <row r="15" ht="52" customHeight="1">
      <c r="A15" s="35" t="n">
        <v>3</v>
      </c>
      <c r="B15" s="36" t="inlineStr">
        <is>
          <t>Pivot source that never needs changing</t>
        </is>
      </c>
      <c r="C15" s="38" t="inlineStr">
        <is>
          <t>A pivot table sourced from the dynamic name rather than a fixed range, with evidence that refreshing after new rows are added brings the new data in.</t>
        </is>
      </c>
      <c r="D15" s="37" t="inlineStr">
        <is>
          <t>Head of Management Reporting</t>
        </is>
      </c>
      <c r="E15" s="31" t="n"/>
    </row>
    <row r="16" ht="65" customHeight="1">
      <c r="A16" s="35" t="n">
        <v>4</v>
      </c>
      <c r="B16" s="36" t="inlineStr">
        <is>
          <t>Blank-cell risk assessment</t>
        </is>
      </c>
      <c r="C16" s="38" t="inlineStr">
        <is>
          <t>A risk note: what happens to the dynamic range when blanks appear in the counted column, the effect on the reported total, and the alternative Excel 2016 feature that avoids the problem entirely.</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62.xml><?xml version="1.0" encoding="utf-8"?>
<worksheet xmlns="http://schemas.openxmlformats.org/spreadsheetml/2006/main">
  <sheetPr>
    <tabColor rgb="001F3864"/>
    <outlinePr summaryBelow="1" summaryRight="1"/>
    <pageSetUpPr/>
  </sheetPr>
  <dimension ref="A1:F45"/>
  <sheetViews>
    <sheetView showGridLines="0" workbookViewId="0">
      <pane ySplit="5" topLeftCell="A6" activePane="bottomLeft" state="frozen"/>
      <selection pane="bottomLeft" activeCell="A1" sqref="A1"/>
    </sheetView>
  </sheetViews>
  <sheetFormatPr baseColWidth="8" defaultRowHeight="15"/>
  <cols>
    <col width="10" customWidth="1" min="1" max="1"/>
    <col width="24" customWidth="1" min="2" max="2"/>
    <col width="22" customWidth="1" min="3" max="3"/>
    <col width="18" customWidth="1" min="4" max="4"/>
    <col width="20" customWidth="1" min="5" max="5"/>
    <col width="20" customWidth="1" min="6" max="6"/>
  </cols>
  <sheetData>
    <row r="1" ht="26" customHeight="1">
      <c r="A1" s="1" t="inlineStr">
        <is>
          <t>Dataset 2.14  —  Using Named Ranges in Formulas and Data Validation</t>
        </is>
      </c>
    </row>
    <row r="2" ht="16" customHeight="1">
      <c r="A2" s="2" t="inlineStr">
        <is>
          <t>Session 2: Array Formulas, Advanced Logic &amp; Named Ranges | Part C: Named Ranges and Dynamic Ranges   |   Adamjee Assurance Company Limited (Pakistan) — training data, figures in PKR</t>
        </is>
      </c>
    </row>
    <row r="4">
      <c r="A4" s="9" t="inlineStr">
        <is>
          <t>Table A — Reference lists for validation</t>
        </is>
      </c>
    </row>
    <row r="5" ht="30" customHeight="1">
      <c r="A5" s="10" t="inlineStr">
        <is>
          <t>Branches</t>
        </is>
      </c>
      <c r="B5" s="10" t="inlineStr">
        <is>
          <t>Products</t>
        </is>
      </c>
      <c r="C5" s="10" t="inlineStr">
        <is>
          <t>Channels</t>
        </is>
      </c>
      <c r="D5" s="10" t="inlineStr">
        <is>
          <t>Policy Status</t>
        </is>
      </c>
    </row>
    <row r="6">
      <c r="A6" s="7" t="inlineStr">
        <is>
          <t>Karachi Main</t>
        </is>
      </c>
      <c r="B6" s="7" t="inlineStr">
        <is>
          <t>Motor</t>
        </is>
      </c>
      <c r="C6" s="7" t="inlineStr">
        <is>
          <t>Direct</t>
        </is>
      </c>
      <c r="D6" s="7" t="inlineStr">
        <is>
          <t>Active</t>
        </is>
      </c>
    </row>
    <row r="7">
      <c r="A7" s="15" t="inlineStr">
        <is>
          <t>Lahore Gulberg</t>
        </is>
      </c>
      <c r="B7" s="15" t="inlineStr">
        <is>
          <t>Fire &amp; Property</t>
        </is>
      </c>
      <c r="C7" s="15" t="inlineStr">
        <is>
          <t>Agency</t>
        </is>
      </c>
      <c r="D7" s="15" t="inlineStr">
        <is>
          <t>Renewed</t>
        </is>
      </c>
    </row>
    <row r="8">
      <c r="A8" s="7" t="inlineStr">
        <is>
          <t>Islamabad Blue Area</t>
        </is>
      </c>
      <c r="B8" s="7" t="inlineStr">
        <is>
          <t>Marine Cargo</t>
        </is>
      </c>
      <c r="C8" s="7" t="inlineStr">
        <is>
          <t>Bancassurance</t>
        </is>
      </c>
      <c r="D8" s="7" t="inlineStr">
        <is>
          <t>Lapsed</t>
        </is>
      </c>
    </row>
    <row r="9">
      <c r="A9" s="15" t="inlineStr">
        <is>
          <t>Faisalabad</t>
        </is>
      </c>
      <c r="B9" s="15" t="inlineStr">
        <is>
          <t>Health</t>
        </is>
      </c>
      <c r="C9" s="15" t="inlineStr">
        <is>
          <t>Corporate</t>
        </is>
      </c>
      <c r="D9" s="15" t="inlineStr">
        <is>
          <t>Cancelled</t>
        </is>
      </c>
    </row>
    <row r="10">
      <c r="A10" s="7" t="inlineStr">
        <is>
          <t>Multan</t>
        </is>
      </c>
      <c r="B10" s="7" t="inlineStr">
        <is>
          <t>Travel</t>
        </is>
      </c>
      <c r="C10" s="7" t="inlineStr"/>
      <c r="D10" s="7" t="inlineStr"/>
    </row>
    <row r="11">
      <c r="A11" s="15" t="inlineStr">
        <is>
          <t>Peshawar</t>
        </is>
      </c>
      <c r="B11" s="15" t="inlineStr">
        <is>
          <t>Engineering</t>
        </is>
      </c>
      <c r="C11" s="15" t="inlineStr"/>
      <c r="D11" s="15" t="inlineStr"/>
    </row>
    <row r="12">
      <c r="A12" s="7" t="inlineStr">
        <is>
          <t>Quetta</t>
        </is>
      </c>
      <c r="B12" s="7" t="inlineStr">
        <is>
          <t>Miscellaneous</t>
        </is>
      </c>
      <c r="C12" s="7" t="inlineStr"/>
      <c r="D12" s="7" t="inlineStr"/>
    </row>
    <row r="13">
      <c r="A13" s="15" t="inlineStr">
        <is>
          <t>Hyderabad</t>
        </is>
      </c>
      <c r="B13" s="15" t="inlineStr"/>
      <c r="C13" s="15" t="inlineStr"/>
      <c r="D13" s="15" t="inlineStr"/>
    </row>
    <row r="14">
      <c r="A14" s="7" t="inlineStr">
        <is>
          <t>Sialkot</t>
        </is>
      </c>
      <c r="B14" s="7" t="inlineStr"/>
      <c r="C14" s="7" t="inlineStr"/>
      <c r="D14" s="7" t="inlineStr"/>
    </row>
    <row r="15">
      <c r="A15" s="15" t="inlineStr">
        <is>
          <t>Rawalpindi</t>
        </is>
      </c>
      <c r="B15" s="15" t="inlineStr"/>
      <c r="C15" s="15" t="inlineStr"/>
      <c r="D15" s="15" t="inlineStr"/>
    </row>
    <row r="17">
      <c r="A17" s="9" t="inlineStr">
        <is>
          <t>Table B — Products each branch is licensed to sell (dependent lists)</t>
        </is>
      </c>
    </row>
    <row r="18" ht="30" customHeight="1">
      <c r="A18" s="10" t="inlineStr">
        <is>
          <t>Karachi_Main</t>
        </is>
      </c>
      <c r="B18" s="10" t="inlineStr">
        <is>
          <t>Lahore_Gulberg</t>
        </is>
      </c>
      <c r="C18" s="10" t="inlineStr">
        <is>
          <t>Islamabad_Blue_Area</t>
        </is>
      </c>
      <c r="D18" s="10" t="inlineStr">
        <is>
          <t>Faisalabad</t>
        </is>
      </c>
    </row>
    <row r="19">
      <c r="A19" s="7" t="inlineStr">
        <is>
          <t>Motor</t>
        </is>
      </c>
      <c r="B19" s="7" t="inlineStr">
        <is>
          <t>Motor</t>
        </is>
      </c>
      <c r="C19" s="7" t="inlineStr">
        <is>
          <t>Motor</t>
        </is>
      </c>
      <c r="D19" s="7" t="inlineStr">
        <is>
          <t>Motor</t>
        </is>
      </c>
    </row>
    <row r="20">
      <c r="A20" s="15" t="inlineStr">
        <is>
          <t>Fire &amp; Property</t>
        </is>
      </c>
      <c r="B20" s="15" t="inlineStr">
        <is>
          <t>Fire &amp; Property</t>
        </is>
      </c>
      <c r="C20" s="15" t="inlineStr">
        <is>
          <t>Health</t>
        </is>
      </c>
      <c r="D20" s="15" t="inlineStr">
        <is>
          <t>Fire &amp; Property</t>
        </is>
      </c>
    </row>
    <row r="21">
      <c r="A21" s="7" t="inlineStr">
        <is>
          <t>Marine Cargo</t>
        </is>
      </c>
      <c r="B21" s="7" t="inlineStr">
        <is>
          <t>Health</t>
        </is>
      </c>
      <c r="C21" s="7" t="inlineStr">
        <is>
          <t>Travel</t>
        </is>
      </c>
      <c r="D21" s="7" t="inlineStr">
        <is>
          <t>Engineering</t>
        </is>
      </c>
    </row>
    <row r="22">
      <c r="A22" s="15" t="inlineStr">
        <is>
          <t>Health</t>
        </is>
      </c>
      <c r="B22" s="15" t="inlineStr">
        <is>
          <t>Engineering</t>
        </is>
      </c>
      <c r="C22" s="15" t="inlineStr"/>
      <c r="D22" s="15" t="inlineStr"/>
    </row>
    <row r="23">
      <c r="A23" s="7" t="inlineStr">
        <is>
          <t>Travel</t>
        </is>
      </c>
      <c r="B23" s="7" t="inlineStr">
        <is>
          <t>Travel</t>
        </is>
      </c>
      <c r="C23" s="7" t="inlineStr"/>
      <c r="D23" s="7" t="inlineStr"/>
    </row>
    <row r="24">
      <c r="A24" s="15" t="inlineStr">
        <is>
          <t>Engineering</t>
        </is>
      </c>
      <c r="B24" s="15" t="inlineStr"/>
      <c r="C24" s="15" t="inlineStr"/>
      <c r="D24" s="15" t="inlineStr"/>
    </row>
    <row r="25">
      <c r="A25" s="7" t="inlineStr">
        <is>
          <t>Miscellaneous</t>
        </is>
      </c>
      <c r="B25" s="7" t="inlineStr"/>
      <c r="C25" s="7" t="inlineStr"/>
      <c r="D25" s="7" t="inlineStr"/>
    </row>
    <row r="27">
      <c r="A27" s="9" t="inlineStr">
        <is>
          <t>Table C — Branch underwriting authority</t>
        </is>
      </c>
    </row>
    <row r="28" ht="30" customHeight="1">
      <c r="A28" s="10" t="inlineStr">
        <is>
          <t>Branch</t>
        </is>
      </c>
      <c r="B28" s="10" t="inlineStr">
        <is>
          <t>Max Sum Insured (PKR)</t>
        </is>
      </c>
    </row>
    <row r="29">
      <c r="A29" s="7" t="inlineStr">
        <is>
          <t>Karachi Main</t>
        </is>
      </c>
      <c r="B29" s="11" t="n">
        <v>100000000</v>
      </c>
    </row>
    <row r="30">
      <c r="A30" s="15" t="inlineStr">
        <is>
          <t>Lahore Gulberg</t>
        </is>
      </c>
      <c r="B30" s="14" t="n">
        <v>60000000</v>
      </c>
    </row>
    <row r="31">
      <c r="A31" s="7" t="inlineStr">
        <is>
          <t>Islamabad Blue Area</t>
        </is>
      </c>
      <c r="B31" s="11" t="n">
        <v>40000000</v>
      </c>
    </row>
    <row r="32">
      <c r="A32" s="15" t="inlineStr">
        <is>
          <t>Faisalabad</t>
        </is>
      </c>
      <c r="B32" s="14" t="n">
        <v>25000000</v>
      </c>
    </row>
    <row r="34">
      <c r="A34" s="9" t="inlineStr">
        <is>
          <t>Table D — Data entry area (the template users will fill)</t>
        </is>
      </c>
    </row>
    <row r="35" ht="30" customHeight="1">
      <c r="A35" s="10" t="inlineStr">
        <is>
          <t>Entry No</t>
        </is>
      </c>
      <c r="B35" s="10" t="inlineStr">
        <is>
          <t>Branch</t>
        </is>
      </c>
      <c r="C35" s="10" t="inlineStr">
        <is>
          <t>Product</t>
        </is>
      </c>
      <c r="D35" s="10" t="inlineStr">
        <is>
          <t>Channel</t>
        </is>
      </c>
      <c r="E35" s="10" t="inlineStr">
        <is>
          <t>Sum Insured (PKR)</t>
        </is>
      </c>
      <c r="F35" s="10" t="inlineStr">
        <is>
          <t>Gross Premium (PKR)</t>
        </is>
      </c>
    </row>
    <row r="36">
      <c r="A36" s="43" t="n">
        <v>1</v>
      </c>
      <c r="B36" s="7" t="inlineStr"/>
      <c r="C36" s="7" t="inlineStr"/>
      <c r="D36" s="7" t="inlineStr"/>
      <c r="E36" s="11" t="n"/>
      <c r="F36" s="11" t="n"/>
    </row>
    <row r="37">
      <c r="A37" s="42" t="n">
        <v>2</v>
      </c>
      <c r="B37" s="15" t="inlineStr"/>
      <c r="C37" s="15" t="inlineStr"/>
      <c r="D37" s="15" t="inlineStr"/>
      <c r="E37" s="14" t="n"/>
      <c r="F37" s="14" t="n"/>
    </row>
    <row r="38">
      <c r="A38" s="43" t="n">
        <v>3</v>
      </c>
      <c r="B38" s="7" t="inlineStr"/>
      <c r="C38" s="7" t="inlineStr"/>
      <c r="D38" s="7" t="inlineStr"/>
      <c r="E38" s="11" t="n"/>
      <c r="F38" s="11" t="n"/>
    </row>
    <row r="39">
      <c r="A39" s="42" t="n">
        <v>4</v>
      </c>
      <c r="B39" s="15" t="inlineStr"/>
      <c r="C39" s="15" t="inlineStr"/>
      <c r="D39" s="15" t="inlineStr"/>
      <c r="E39" s="14" t="n"/>
      <c r="F39" s="14" t="n"/>
    </row>
    <row r="40">
      <c r="A40" s="43" t="n">
        <v>5</v>
      </c>
      <c r="B40" s="7" t="inlineStr"/>
      <c r="C40" s="7" t="inlineStr"/>
      <c r="D40" s="7" t="inlineStr"/>
      <c r="E40" s="11" t="n"/>
      <c r="F40" s="11" t="n"/>
    </row>
    <row r="41">
      <c r="A41" s="42" t="n">
        <v>6</v>
      </c>
      <c r="B41" s="15" t="inlineStr"/>
      <c r="C41" s="15" t="inlineStr"/>
      <c r="D41" s="15" t="inlineStr"/>
      <c r="E41" s="14" t="n"/>
      <c r="F41" s="14" t="n"/>
    </row>
    <row r="42">
      <c r="A42" s="43" t="n">
        <v>7</v>
      </c>
      <c r="B42" s="7" t="inlineStr"/>
      <c r="C42" s="7" t="inlineStr"/>
      <c r="D42" s="7" t="inlineStr"/>
      <c r="E42" s="11" t="n"/>
      <c r="F42" s="11" t="n"/>
    </row>
    <row r="43">
      <c r="A43" s="42" t="n">
        <v>8</v>
      </c>
      <c r="B43" s="15" t="inlineStr"/>
      <c r="C43" s="15" t="inlineStr"/>
      <c r="D43" s="15" t="inlineStr"/>
      <c r="E43" s="14" t="n"/>
      <c r="F43" s="14" t="n"/>
    </row>
    <row r="45">
      <c r="A4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63.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Branch Data Entry Template — controlled at source</t>
        </is>
      </c>
    </row>
    <row r="3">
      <c r="A3" s="21" t="inlineStr">
        <is>
          <t>Prepared for:</t>
        </is>
      </c>
      <c r="B3" s="22" t="inlineStr">
        <is>
          <t>Head of Operations</t>
        </is>
      </c>
    </row>
    <row r="4">
      <c r="A4" s="21" t="inlineStr">
        <is>
          <t>Prepared by:</t>
        </is>
      </c>
      <c r="B4" s="23" t="n"/>
    </row>
    <row r="5">
      <c r="A5" s="21" t="inlineStr">
        <is>
          <t>Reporting date:</t>
        </is>
      </c>
      <c r="B5" s="22" t="inlineStr">
        <is>
          <t>As at reporting date shown on the dataset</t>
        </is>
      </c>
    </row>
    <row r="7" ht="44" customHeight="1">
      <c r="A7" s="24" t="inlineStr">
        <is>
          <t>The branch entry template goes to ten locations tomorrow. The last version allowed free typing and came back with branch names spelt four different ways, products that the branch is not licensed to sell, and one sum insured of PKR 900 million entered by a user who held the zero key down.</t>
        </is>
      </c>
    </row>
    <row r="9">
      <c r="A9" s="25" t="inlineStr">
        <is>
          <t>Source data: '2.14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Branch Data Entry Template — controlled at source</t>
        </is>
      </c>
      <c r="C13" s="38" t="inlineStr">
        <is>
          <t>The entry template with: drop-down lists on Branch, Product, Channel and Status sourced from named ranges, so no branch name can be mistyped. Ten rows ready for entry.</t>
        </is>
      </c>
      <c r="D13" s="37" t="inlineStr">
        <is>
          <t>Head of Operations</t>
        </is>
      </c>
      <c r="E13" s="31" t="n"/>
    </row>
    <row r="14" ht="52" customHeight="1">
      <c r="A14" s="35" t="n">
        <v>2</v>
      </c>
      <c r="B14" s="36" t="inlineStr">
        <is>
          <t>Licensed-product control per branch</t>
        </is>
      </c>
      <c r="C14" s="38" t="inlineStr">
        <is>
          <t>A dependent Product drop-down that offers only the products the selected branch is licensed to sell, tested by selecting each of the four branches in turn.</t>
        </is>
      </c>
      <c r="D14" s="37" t="inlineStr">
        <is>
          <t>Chief Underwriting Officer</t>
        </is>
      </c>
      <c r="E14" s="31" t="n"/>
    </row>
    <row r="15" ht="65" customHeight="1">
      <c r="A15" s="35" t="n">
        <v>3</v>
      </c>
      <c r="B15" s="36" t="inlineStr">
        <is>
          <t>Underwriting authority limit at the point of entry</t>
        </is>
      </c>
      <c r="C15" s="38" t="inlineStr">
        <is>
          <t>A validation rule on Sum Insured limiting entry to the selected branch's authority, with a custom input message and a Stop error alert written in language a branch clerk will understand.</t>
        </is>
      </c>
      <c r="D15" s="37" t="inlineStr">
        <is>
          <t>Chief Underwriting Officer</t>
        </is>
      </c>
      <c r="E15" s="31" t="n"/>
    </row>
    <row r="16" ht="52" customHeight="1">
      <c r="A16" s="35" t="n">
        <v>4</v>
      </c>
      <c r="B16" s="36" t="inlineStr">
        <is>
          <t>Duplicate policy number control</t>
        </is>
      </c>
      <c r="C16" s="38" t="inlineStr">
        <is>
          <t>A validation rule that refuses a duplicate policy number within the entry range, plus evidence of Circle Invalid Data being used to expose entries made before the controls existed.</t>
        </is>
      </c>
      <c r="D16" s="37" t="inlineStr">
        <is>
          <t>Head of Internal Audit</t>
        </is>
      </c>
      <c r="E16" s="31" t="n"/>
    </row>
    <row r="17" ht="52" customHeight="1">
      <c r="A17" s="35" t="n">
        <v>5</v>
      </c>
      <c r="B17" s="36" t="inlineStr">
        <is>
          <t>Maintenance note — adding an eleventh branch</t>
        </is>
      </c>
      <c r="C17" s="38" t="inlineStr">
        <is>
          <t>A maintenance note stating what happens to the drop-downs when a branch is added to the reference list, and the change you would make now so the addition needs no rework.</t>
        </is>
      </c>
      <c r="D17" s="37" t="inlineStr">
        <is>
          <t>Head of Operations</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64.xml><?xml version="1.0" encoding="utf-8"?>
<worksheet xmlns="http://schemas.openxmlformats.org/spreadsheetml/2006/main">
  <sheetPr>
    <tabColor rgb="001F3864"/>
    <outlinePr summaryBelow="1" summaryRight="1"/>
    <pageSetUpPr/>
  </sheetPr>
  <dimension ref="A1:F31"/>
  <sheetViews>
    <sheetView showGridLines="0" workbookViewId="0">
      <pane ySplit="5" topLeftCell="A6" activePane="bottomLeft" state="frozen"/>
      <selection pane="bottomLeft" activeCell="A1" sqref="A1"/>
    </sheetView>
  </sheetViews>
  <sheetFormatPr baseColWidth="8" defaultRowHeight="15"/>
  <cols>
    <col width="22" customWidth="1" min="1" max="1"/>
    <col width="24" customWidth="1" min="2" max="2"/>
    <col width="18" customWidth="1" min="3" max="3"/>
    <col width="18" customWidth="1" min="4" max="4"/>
    <col width="18" customWidth="1" min="5" max="5"/>
  </cols>
  <sheetData>
    <row r="1" ht="26" customHeight="1">
      <c r="A1" s="1" t="inlineStr">
        <is>
          <t>Dataset 2.15  —  INDIRECT Function for Dynamic References</t>
        </is>
      </c>
    </row>
    <row r="2" ht="16" customHeight="1">
      <c r="A2" s="2" t="inlineStr">
        <is>
          <t>Session 2: Array Formulas, Advanced Logic &amp; Named Ranges | Part C: Named Ranges and Dynamic Ranges   |   Adamjee Assurance Company Limited (Pakistan) — training data, figures in PKR</t>
        </is>
      </c>
    </row>
    <row r="4">
      <c r="A4" s="9" t="inlineStr">
        <is>
          <t>Table A — Karachi_Main (imagine this is its own sheet, same layout for every branch)</t>
        </is>
      </c>
    </row>
    <row r="5" ht="30" customHeight="1">
      <c r="A5" s="10" t="inlineStr">
        <is>
          <t>Line Item</t>
        </is>
      </c>
      <c r="B5" s="10" t="inlineStr">
        <is>
          <t>Q1 (PKR)</t>
        </is>
      </c>
      <c r="C5" s="10" t="inlineStr">
        <is>
          <t>Q2 (PKR)</t>
        </is>
      </c>
      <c r="D5" s="10" t="inlineStr">
        <is>
          <t>Q3 (PKR)</t>
        </is>
      </c>
      <c r="E5" s="10" t="inlineStr">
        <is>
          <t>Q4 (PKR)</t>
        </is>
      </c>
    </row>
    <row r="6">
      <c r="A6" s="7" t="inlineStr">
        <is>
          <t>Gross Written Premium</t>
        </is>
      </c>
      <c r="B6" s="11" t="n">
        <v>48500000</v>
      </c>
      <c r="C6" s="11" t="n">
        <v>52300000</v>
      </c>
      <c r="D6" s="11" t="n">
        <v>55900000</v>
      </c>
      <c r="E6" s="11" t="n">
        <v>61200000</v>
      </c>
    </row>
    <row r="7">
      <c r="A7" s="15" t="inlineStr">
        <is>
          <t>Claims Paid</t>
        </is>
      </c>
      <c r="B7" s="14" t="n">
        <v>21300000</v>
      </c>
      <c r="C7" s="14" t="n">
        <v>24800000</v>
      </c>
      <c r="D7" s="14" t="n">
        <v>26100000</v>
      </c>
      <c r="E7" s="14" t="n">
        <v>29400000</v>
      </c>
    </row>
    <row r="8">
      <c r="A8" s="7" t="inlineStr">
        <is>
          <t>Commission</t>
        </is>
      </c>
      <c r="B8" s="11" t="n">
        <v>6800000</v>
      </c>
      <c r="C8" s="11" t="n">
        <v>7300000</v>
      </c>
      <c r="D8" s="11" t="n">
        <v>7900000</v>
      </c>
      <c r="E8" s="11" t="n">
        <v>8500000</v>
      </c>
    </row>
    <row r="9">
      <c r="A9" s="15" t="inlineStr">
        <is>
          <t>Management Expenses</t>
        </is>
      </c>
      <c r="B9" s="14" t="n">
        <v>5200000</v>
      </c>
      <c r="C9" s="14" t="n">
        <v>5400000</v>
      </c>
      <c r="D9" s="14" t="n">
        <v>5600000</v>
      </c>
      <c r="E9" s="14" t="n">
        <v>5900000</v>
      </c>
    </row>
    <row r="11">
      <c r="A11" s="9" t="inlineStr">
        <is>
          <t>Table B — Lahore_Gulberg</t>
        </is>
      </c>
    </row>
    <row r="12" ht="30" customHeight="1">
      <c r="A12" s="10" t="inlineStr">
        <is>
          <t>Line Item</t>
        </is>
      </c>
      <c r="B12" s="10" t="inlineStr">
        <is>
          <t>Q1 (PKR)</t>
        </is>
      </c>
      <c r="C12" s="10" t="inlineStr">
        <is>
          <t>Q2 (PKR)</t>
        </is>
      </c>
      <c r="D12" s="10" t="inlineStr">
        <is>
          <t>Q3 (PKR)</t>
        </is>
      </c>
      <c r="E12" s="10" t="inlineStr">
        <is>
          <t>Q4 (PKR)</t>
        </is>
      </c>
    </row>
    <row r="13">
      <c r="A13" s="7" t="inlineStr">
        <is>
          <t>Gross Written Premium</t>
        </is>
      </c>
      <c r="B13" s="11" t="n">
        <v>33200000</v>
      </c>
      <c r="C13" s="11" t="n">
        <v>35600000</v>
      </c>
      <c r="D13" s="11" t="n">
        <v>34100000</v>
      </c>
      <c r="E13" s="11" t="n">
        <v>38900000</v>
      </c>
    </row>
    <row r="14">
      <c r="A14" s="15" t="inlineStr">
        <is>
          <t>Claims Paid</t>
        </is>
      </c>
      <c r="B14" s="14" t="n">
        <v>19900000</v>
      </c>
      <c r="C14" s="14" t="n">
        <v>18400000</v>
      </c>
      <c r="D14" s="14" t="n">
        <v>21700000</v>
      </c>
      <c r="E14" s="14" t="n">
        <v>22300000</v>
      </c>
    </row>
    <row r="15">
      <c r="A15" s="7" t="inlineStr">
        <is>
          <t>Commission</t>
        </is>
      </c>
      <c r="B15" s="11" t="n">
        <v>4600000</v>
      </c>
      <c r="C15" s="11" t="n">
        <v>4900000</v>
      </c>
      <c r="D15" s="11" t="n">
        <v>4700000</v>
      </c>
      <c r="E15" s="11" t="n">
        <v>5300000</v>
      </c>
    </row>
    <row r="16">
      <c r="A16" s="15" t="inlineStr">
        <is>
          <t>Management Expenses</t>
        </is>
      </c>
      <c r="B16" s="14" t="n">
        <v>3800000</v>
      </c>
      <c r="C16" s="14" t="n">
        <v>3900000</v>
      </c>
      <c r="D16" s="14" t="n">
        <v>4000000</v>
      </c>
      <c r="E16" s="14" t="n">
        <v>4200000</v>
      </c>
    </row>
    <row r="18">
      <c r="A18" s="9" t="inlineStr">
        <is>
          <t>Table C — Islamabad_Blue_Area</t>
        </is>
      </c>
    </row>
    <row r="19" ht="30" customHeight="1">
      <c r="A19" s="10" t="inlineStr">
        <is>
          <t>Line Item</t>
        </is>
      </c>
      <c r="B19" s="10" t="inlineStr">
        <is>
          <t>Q1 (PKR)</t>
        </is>
      </c>
      <c r="C19" s="10" t="inlineStr">
        <is>
          <t>Q2 (PKR)</t>
        </is>
      </c>
      <c r="D19" s="10" t="inlineStr">
        <is>
          <t>Q3 (PKR)</t>
        </is>
      </c>
      <c r="E19" s="10" t="inlineStr">
        <is>
          <t>Q4 (PKR)</t>
        </is>
      </c>
    </row>
    <row r="20">
      <c r="A20" s="7" t="inlineStr">
        <is>
          <t>Gross Written Premium</t>
        </is>
      </c>
      <c r="B20" s="11" t="n">
        <v>18700000</v>
      </c>
      <c r="C20" s="11" t="n">
        <v>19900000</v>
      </c>
      <c r="D20" s="11" t="n">
        <v>21400000</v>
      </c>
      <c r="E20" s="11" t="n">
        <v>23100000</v>
      </c>
    </row>
    <row r="21">
      <c r="A21" s="15" t="inlineStr">
        <is>
          <t>Claims Paid</t>
        </is>
      </c>
      <c r="B21" s="14" t="n">
        <v>8100000</v>
      </c>
      <c r="C21" s="14" t="n">
        <v>9600000</v>
      </c>
      <c r="D21" s="14" t="n">
        <v>10200000</v>
      </c>
      <c r="E21" s="14" t="n">
        <v>11800000</v>
      </c>
    </row>
    <row r="22">
      <c r="A22" s="7" t="inlineStr">
        <is>
          <t>Commission</t>
        </is>
      </c>
      <c r="B22" s="11" t="n">
        <v>2500000</v>
      </c>
      <c r="C22" s="11" t="n">
        <v>2700000</v>
      </c>
      <c r="D22" s="11" t="n">
        <v>2900000</v>
      </c>
      <c r="E22" s="11" t="n">
        <v>3100000</v>
      </c>
    </row>
    <row r="23">
      <c r="A23" s="15" t="inlineStr">
        <is>
          <t>Management Expenses</t>
        </is>
      </c>
      <c r="B23" s="14" t="n">
        <v>2100000</v>
      </c>
      <c r="C23" s="14" t="n">
        <v>2150000</v>
      </c>
      <c r="D23" s="14" t="n">
        <v>2200000</v>
      </c>
      <c r="E23" s="14" t="n">
        <v>2300000</v>
      </c>
    </row>
    <row r="25">
      <c r="A25" s="9" t="inlineStr">
        <is>
          <t>Table D — Summary controls</t>
        </is>
      </c>
    </row>
    <row r="26" ht="30" customHeight="1">
      <c r="A26" s="10" t="inlineStr">
        <is>
          <t>Control</t>
        </is>
      </c>
      <c r="B26" s="10" t="inlineStr">
        <is>
          <t>Value</t>
        </is>
      </c>
    </row>
    <row r="27">
      <c r="A27" s="7" t="inlineStr">
        <is>
          <t>Branch selected</t>
        </is>
      </c>
      <c r="B27" s="7" t="inlineStr">
        <is>
          <t>Lahore_Gulberg</t>
        </is>
      </c>
    </row>
    <row r="28">
      <c r="A28" s="15" t="inlineStr">
        <is>
          <t>Quarter selected</t>
        </is>
      </c>
      <c r="B28" s="15" t="inlineStr">
        <is>
          <t>Q3</t>
        </is>
      </c>
    </row>
    <row r="29">
      <c r="A29" s="7" t="inlineStr">
        <is>
          <t>Line item</t>
        </is>
      </c>
      <c r="B29" s="7" t="inlineStr">
        <is>
          <t>Claims Paid</t>
        </is>
      </c>
    </row>
    <row r="31">
      <c r="A3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65.xml><?xml version="1.0" encoding="utf-8"?>
<worksheet xmlns="http://schemas.openxmlformats.org/spreadsheetml/2006/main">
  <sheetPr>
    <tabColor rgb="00C00000"/>
    <outlinePr summaryBelow="1" summaryRight="1"/>
    <pageSetUpPr/>
  </sheetPr>
  <dimension ref="A1:L33"/>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Regional Summary Page across branch sheets</t>
        </is>
      </c>
    </row>
    <row r="3">
      <c r="A3" s="21" t="inlineStr">
        <is>
          <t>Prepared for:</t>
        </is>
      </c>
      <c r="B3" s="22" t="inlineStr">
        <is>
          <t>Regional Head — South</t>
        </is>
      </c>
    </row>
    <row r="4">
      <c r="A4" s="21" t="inlineStr">
        <is>
          <t>Prepared by:</t>
        </is>
      </c>
      <c r="B4" s="23" t="n"/>
    </row>
    <row r="5">
      <c r="A5" s="21" t="inlineStr">
        <is>
          <t>Reporting date:</t>
        </is>
      </c>
      <c r="B5" s="22" t="inlineStr">
        <is>
          <t>As at reporting date shown on the dataset</t>
        </is>
      </c>
    </row>
    <row r="7" ht="44" customHeight="1">
      <c r="A7" s="24" t="inlineStr">
        <is>
          <t>Each branch keeps its own identically structured sheet in the regional workbook. The summary page is built by writing a separate formula for every branch, so adding the new branch last quarter meant editing forty-eight formulas and two were missed.</t>
        </is>
      </c>
    </row>
    <row r="9">
      <c r="A9" s="25" t="inlineStr">
        <is>
          <t>Source data: '2.15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Regional Summary Page across branch sheets</t>
        </is>
      </c>
      <c r="C13" s="38" t="inlineStr">
        <is>
          <t>A summary page with one branch selector cell returning that branch's figures for the selected quarter and line item — Gross Written Premium, Claims Paid, Commission and Management Expenses — with no formula edited when the selection changes.</t>
        </is>
      </c>
      <c r="D13" s="37" t="inlineStr">
        <is>
          <t>Regional Head — South</t>
        </is>
      </c>
      <c r="E13" s="31" t="n"/>
    </row>
    <row r="14" ht="52" customHeight="1">
      <c r="A14" s="35" t="n">
        <v>2</v>
      </c>
      <c r="B14" s="36" t="inlineStr">
        <is>
          <t>Branch Loss Ratio comparison</t>
        </is>
      </c>
      <c r="C14" s="38" t="inlineStr">
        <is>
          <t>A comparison block showing all three branches side by side for the selected quarter: GWP, Claims, Loss Ratio and Combined Ratio, driven by the same INDIRECT pattern copied across.</t>
        </is>
      </c>
      <c r="D14" s="37" t="inlineStr">
        <is>
          <t>Regional Head — South</t>
        </is>
      </c>
      <c r="E14" s="31" t="n"/>
    </row>
    <row r="15" ht="52" customHeight="1">
      <c r="A15" s="35" t="n">
        <v>3</v>
      </c>
      <c r="B15" s="36" t="inlineStr">
        <is>
          <t>Robustness note before the workbook is shared</t>
        </is>
      </c>
      <c r="C15" s="38" t="inlineStr">
        <is>
          <t>A robustness note recording two limitations of INDIRECT that matter in production, and your recommendation on whether this summary page should be shared as it is.</t>
        </is>
      </c>
      <c r="D15" s="37" t="inlineStr">
        <is>
          <t>Head of MIS</t>
        </is>
      </c>
      <c r="E15" s="31" t="n"/>
    </row>
    <row r="17" ht="20" customHeight="1">
      <c r="A17" s="33" t="inlineStr">
        <is>
          <t>BUILD YOUR REPORT / OUTPUT BELOW  (pivot, chart, macro output, or model — as required above)</t>
        </is>
      </c>
    </row>
    <row r="18" ht="16" customHeight="1">
      <c r="A18" s="31" t="n"/>
      <c r="B18" s="31" t="n"/>
      <c r="C18" s="31" t="n"/>
      <c r="D18" s="31" t="n"/>
      <c r="E18" s="31" t="n"/>
      <c r="F18" s="31" t="n"/>
      <c r="G18" s="31" t="n"/>
      <c r="H18" s="31" t="n"/>
      <c r="I18" s="31" t="n"/>
      <c r="J18" s="31" t="n"/>
      <c r="K18" s="31" t="n"/>
    </row>
    <row r="19">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3" ht="32" customHeight="1">
      <c r="A33"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7:K7"/>
    <mergeCell ref="A1:L1"/>
    <mergeCell ref="A33:E33"/>
    <mergeCell ref="A11:E11"/>
    <mergeCell ref="A17:E17"/>
  </mergeCells>
  <hyperlinks>
    <hyperlink xmlns:r="http://schemas.openxmlformats.org/officeDocument/2006/relationships" ref="A9" r:id="rId1"/>
  </hyperlinks>
  <pageMargins left="0.75" right="0.75" top="1" bottom="1" header="0.5" footer="0.5"/>
</worksheet>
</file>

<file path=xl/worksheets/sheet66.xml><?xml version="1.0" encoding="utf-8"?>
<worksheet xmlns="http://schemas.openxmlformats.org/spreadsheetml/2006/main">
  <sheetPr>
    <tabColor rgb="001F3864"/>
    <outlinePr summaryBelow="1" summaryRight="1"/>
    <pageSetUpPr/>
  </sheetPr>
  <dimension ref="A1:M133"/>
  <sheetViews>
    <sheetView showGridLines="0" workbookViewId="0">
      <pane ySplit="5" topLeftCell="A6" activePane="bottomLeft" state="frozen"/>
      <selection pane="bottomLeft" activeCell="A1" sqref="A1"/>
    </sheetView>
  </sheetViews>
  <sheetFormatPr baseColWidth="8" defaultRowHeight="15"/>
  <cols>
    <col width="26" customWidth="1" min="1" max="1"/>
    <col width="12" customWidth="1" min="2" max="2"/>
    <col width="20" customWidth="1" min="3" max="3"/>
    <col width="11" customWidth="1" min="4" max="4"/>
    <col width="17" customWidth="1" min="5" max="5"/>
    <col width="16" customWidth="1" min="6" max="6"/>
    <col width="20" customWidth="1" min="7" max="7"/>
    <col width="13" customWidth="1" min="8" max="8"/>
    <col width="19" customWidth="1" min="9" max="9"/>
    <col width="20" customWidth="1" min="10" max="10"/>
    <col width="19" customWidth="1" min="11" max="11"/>
    <col width="13" customWidth="1" min="12" max="12"/>
    <col width="14" customWidth="1" min="13" max="13"/>
  </cols>
  <sheetData>
    <row r="1" ht="26" customHeight="1">
      <c r="A1" s="1" t="inlineStr">
        <is>
          <t>Dataset 3.1  —  Calculated Fields and Calculated Items</t>
        </is>
      </c>
    </row>
    <row r="2" ht="16" customHeight="1">
      <c r="A2" s="2" t="inlineStr">
        <is>
          <t>Session 3: Advanced Pivot Tables, Power Query &amp; What-If Analysis | Part A: Advanced Pivot Tables   |   Adamjee Assurance Company Limited (Pakistan) — training data, figures in PKR</t>
        </is>
      </c>
    </row>
    <row r="4">
      <c r="A4" s="9" t="inlineStr">
        <is>
          <t>Table A — Policy transaction register 2024 (120 rows — the pivot source)</t>
        </is>
      </c>
    </row>
    <row r="5" ht="30" customHeight="1">
      <c r="A5" s="10" t="inlineStr">
        <is>
          <t>Policy No</t>
        </is>
      </c>
      <c r="B5" s="10" t="inlineStr">
        <is>
          <t>Booking Date</t>
        </is>
      </c>
      <c r="C5" s="10" t="inlineStr">
        <is>
          <t>Branch</t>
        </is>
      </c>
      <c r="D5" s="10" t="inlineStr">
        <is>
          <t>Region</t>
        </is>
      </c>
      <c r="E5" s="10" t="inlineStr">
        <is>
          <t>Product</t>
        </is>
      </c>
      <c r="F5" s="10" t="inlineStr">
        <is>
          <t>Channel</t>
        </is>
      </c>
      <c r="G5" s="10" t="inlineStr">
        <is>
          <t>Agent Name</t>
        </is>
      </c>
      <c r="H5" s="10" t="inlineStr">
        <is>
          <t>Client Type</t>
        </is>
      </c>
      <c r="I5" s="10" t="inlineStr">
        <is>
          <t>Sum Insured (PKR)</t>
        </is>
      </c>
      <c r="J5" s="10" t="inlineStr">
        <is>
          <t>Gross Premium (PKR)</t>
        </is>
      </c>
      <c r="K5" s="10" t="inlineStr">
        <is>
          <t>Claims Paid (PKR)</t>
        </is>
      </c>
      <c r="L5" s="10" t="inlineStr">
        <is>
          <t>Policy Count</t>
        </is>
      </c>
      <c r="M5" s="10" t="inlineStr">
        <is>
          <t>Policy Status</t>
        </is>
      </c>
    </row>
    <row r="6">
      <c r="A6" s="7" t="inlineStr">
        <is>
          <t>ADM-MTR-KHI-2024-2001</t>
        </is>
      </c>
      <c r="B6" s="40" t="n">
        <v>45292</v>
      </c>
      <c r="C6" s="7" t="inlineStr">
        <is>
          <t>Karachi Main</t>
        </is>
      </c>
      <c r="D6" s="7" t="inlineStr">
        <is>
          <t>South</t>
        </is>
      </c>
      <c r="E6" s="7" t="inlineStr">
        <is>
          <t>Motor</t>
        </is>
      </c>
      <c r="F6" s="7" t="inlineStr">
        <is>
          <t>Direct</t>
        </is>
      </c>
      <c r="G6" s="7" t="inlineStr">
        <is>
          <t>Tariq Jameel</t>
        </is>
      </c>
      <c r="H6" s="7" t="inlineStr">
        <is>
          <t>Individual</t>
        </is>
      </c>
      <c r="I6" s="11" t="n">
        <v>3400000</v>
      </c>
      <c r="J6" s="11" t="n">
        <v>33200</v>
      </c>
      <c r="K6" s="11" t="n">
        <v>52907</v>
      </c>
      <c r="L6" s="11" t="n">
        <v>1</v>
      </c>
      <c r="M6" s="7" t="inlineStr">
        <is>
          <t>Active</t>
        </is>
      </c>
    </row>
    <row r="7">
      <c r="A7" s="15" t="inlineStr">
        <is>
          <t>ADM-HLT-LHR-2024-2002</t>
        </is>
      </c>
      <c r="B7" s="41" t="n">
        <v>45330</v>
      </c>
      <c r="C7" s="15" t="inlineStr">
        <is>
          <t>Lahore Gulberg</t>
        </is>
      </c>
      <c r="D7" s="15" t="inlineStr">
        <is>
          <t>Central</t>
        </is>
      </c>
      <c r="E7" s="15" t="inlineStr">
        <is>
          <t>Health</t>
        </is>
      </c>
      <c r="F7" s="15" t="inlineStr">
        <is>
          <t>Agency</t>
        </is>
      </c>
      <c r="G7" s="15" t="inlineStr">
        <is>
          <t>Nadia Hassan</t>
        </is>
      </c>
      <c r="H7" s="15" t="inlineStr">
        <is>
          <t>Corporate</t>
        </is>
      </c>
      <c r="I7" s="14" t="n">
        <v>1200000</v>
      </c>
      <c r="J7" s="14" t="n">
        <v>15300</v>
      </c>
      <c r="K7" s="14" t="n">
        <v>3207</v>
      </c>
      <c r="L7" s="14" t="n">
        <v>1</v>
      </c>
      <c r="M7" s="15" t="inlineStr">
        <is>
          <t>Active</t>
        </is>
      </c>
    </row>
    <row r="8">
      <c r="A8" s="7" t="inlineStr">
        <is>
          <t>ADM-MSC-ISB-2024-2003</t>
        </is>
      </c>
      <c r="B8" s="40" t="n">
        <v>45366</v>
      </c>
      <c r="C8" s="7" t="inlineStr">
        <is>
          <t>Islamabad Blue Area</t>
        </is>
      </c>
      <c r="D8" s="7" t="inlineStr">
        <is>
          <t>North</t>
        </is>
      </c>
      <c r="E8" s="7" t="inlineStr">
        <is>
          <t>Miscellaneous</t>
        </is>
      </c>
      <c r="F8" s="7" t="inlineStr">
        <is>
          <t>Bancassurance</t>
        </is>
      </c>
      <c r="G8" s="7" t="inlineStr">
        <is>
          <t>Salman Shah</t>
        </is>
      </c>
      <c r="H8" s="7" t="inlineStr">
        <is>
          <t>Corporate</t>
        </is>
      </c>
      <c r="I8" s="11" t="n">
        <v>11500000</v>
      </c>
      <c r="J8" s="11" t="n">
        <v>206100</v>
      </c>
      <c r="K8" s="11" t="n">
        <v>260673</v>
      </c>
      <c r="L8" s="11" t="n">
        <v>1</v>
      </c>
      <c r="M8" s="7" t="inlineStr">
        <is>
          <t>Renewed</t>
        </is>
      </c>
    </row>
    <row r="9">
      <c r="A9" s="15" t="inlineStr">
        <is>
          <t>ADM-MAR-FSD-2024-2004</t>
        </is>
      </c>
      <c r="B9" s="41" t="n">
        <v>45404</v>
      </c>
      <c r="C9" s="15" t="inlineStr">
        <is>
          <t>Faisalabad</t>
        </is>
      </c>
      <c r="D9" s="15" t="inlineStr">
        <is>
          <t>Central</t>
        </is>
      </c>
      <c r="E9" s="15" t="inlineStr">
        <is>
          <t>Marine Cargo</t>
        </is>
      </c>
      <c r="F9" s="15" t="inlineStr">
        <is>
          <t>Corporate</t>
        </is>
      </c>
      <c r="G9" s="15" t="inlineStr">
        <is>
          <t>Komal Bashir</t>
        </is>
      </c>
      <c r="H9" s="15" t="inlineStr">
        <is>
          <t>Individual</t>
        </is>
      </c>
      <c r="I9" s="14" t="n">
        <v>47000000</v>
      </c>
      <c r="J9" s="14" t="n">
        <v>1335500</v>
      </c>
      <c r="K9" s="14" t="n">
        <v>125902</v>
      </c>
      <c r="L9" s="14" t="n">
        <v>1</v>
      </c>
      <c r="M9" s="15" t="inlineStr">
        <is>
          <t>Lapsed</t>
        </is>
      </c>
    </row>
    <row r="10">
      <c r="A10" s="7" t="inlineStr">
        <is>
          <t>ADM-ENG-MUL-2024-2005</t>
        </is>
      </c>
      <c r="B10" s="40" t="n">
        <v>45413</v>
      </c>
      <c r="C10" s="7" t="inlineStr">
        <is>
          <t>Multan</t>
        </is>
      </c>
      <c r="D10" s="7" t="inlineStr">
        <is>
          <t>Central</t>
        </is>
      </c>
      <c r="E10" s="7" t="inlineStr">
        <is>
          <t>Engineering</t>
        </is>
      </c>
      <c r="F10" s="7" t="inlineStr">
        <is>
          <t>Direct</t>
        </is>
      </c>
      <c r="G10" s="7" t="inlineStr">
        <is>
          <t>Waqar Younis Khan</t>
        </is>
      </c>
      <c r="H10" s="7" t="inlineStr">
        <is>
          <t>Corporate</t>
        </is>
      </c>
      <c r="I10" s="11" t="n">
        <v>1200000</v>
      </c>
      <c r="J10" s="11" t="n">
        <v>14500</v>
      </c>
      <c r="K10" s="11" t="n">
        <v>20595</v>
      </c>
      <c r="L10" s="11" t="n">
        <v>1</v>
      </c>
      <c r="M10" s="7" t="inlineStr">
        <is>
          <t>Cancelled</t>
        </is>
      </c>
    </row>
    <row r="11">
      <c r="A11" s="15" t="inlineStr">
        <is>
          <t>ADM-FIR-PEW-2024-2006</t>
        </is>
      </c>
      <c r="B11" s="41" t="n">
        <v>45451</v>
      </c>
      <c r="C11" s="15" t="inlineStr">
        <is>
          <t>Peshawar</t>
        </is>
      </c>
      <c r="D11" s="15" t="inlineStr">
        <is>
          <t>North</t>
        </is>
      </c>
      <c r="E11" s="15" t="inlineStr">
        <is>
          <t>Fire &amp; Property</t>
        </is>
      </c>
      <c r="F11" s="15" t="inlineStr">
        <is>
          <t>Agency</t>
        </is>
      </c>
      <c r="G11" s="15" t="inlineStr">
        <is>
          <t>Amna Zubair</t>
        </is>
      </c>
      <c r="H11" s="15" t="inlineStr">
        <is>
          <t>Corporate</t>
        </is>
      </c>
      <c r="I11" s="14" t="n">
        <v>72000000</v>
      </c>
      <c r="J11" s="14" t="n">
        <v>1519000</v>
      </c>
      <c r="K11" s="14" t="n">
        <v>2506397</v>
      </c>
      <c r="L11" s="14" t="n">
        <v>1</v>
      </c>
      <c r="M11" s="15" t="inlineStr">
        <is>
          <t>Active</t>
        </is>
      </c>
    </row>
    <row r="12">
      <c r="A12" s="7" t="inlineStr">
        <is>
          <t>ADM-TRV-QTA-2024-2007</t>
        </is>
      </c>
      <c r="B12" s="40" t="n">
        <v>45488</v>
      </c>
      <c r="C12" s="7" t="inlineStr">
        <is>
          <t>Quetta</t>
        </is>
      </c>
      <c r="D12" s="7" t="inlineStr">
        <is>
          <t>South</t>
        </is>
      </c>
      <c r="E12" s="7" t="inlineStr">
        <is>
          <t>Travel</t>
        </is>
      </c>
      <c r="F12" s="7" t="inlineStr">
        <is>
          <t>Bancassurance</t>
        </is>
      </c>
      <c r="G12" s="7" t="inlineStr">
        <is>
          <t>Rizwan Ali Soomro</t>
        </is>
      </c>
      <c r="H12" s="7" t="inlineStr">
        <is>
          <t>Individual</t>
        </is>
      </c>
      <c r="I12" s="11" t="n">
        <v>1200000</v>
      </c>
      <c r="J12" s="11" t="n">
        <v>23900</v>
      </c>
      <c r="K12" s="11" t="n">
        <v>3819</v>
      </c>
      <c r="L12" s="11" t="n">
        <v>1</v>
      </c>
      <c r="M12" s="7" t="inlineStr">
        <is>
          <t>Active</t>
        </is>
      </c>
    </row>
    <row r="13">
      <c r="A13" s="15" t="inlineStr">
        <is>
          <t>ADM-MTR-HYD-2024-2008</t>
        </is>
      </c>
      <c r="B13" s="41" t="n">
        <v>45526</v>
      </c>
      <c r="C13" s="15" t="inlineStr">
        <is>
          <t>Hyderabad</t>
        </is>
      </c>
      <c r="D13" s="15" t="inlineStr">
        <is>
          <t>South</t>
        </is>
      </c>
      <c r="E13" s="15" t="inlineStr">
        <is>
          <t>Motor</t>
        </is>
      </c>
      <c r="F13" s="15" t="inlineStr">
        <is>
          <t>Corporate</t>
        </is>
      </c>
      <c r="G13" s="15" t="inlineStr">
        <is>
          <t>Farhan Dar</t>
        </is>
      </c>
      <c r="H13" s="15" t="inlineStr">
        <is>
          <t>Corporate</t>
        </is>
      </c>
      <c r="I13" s="14" t="n">
        <v>11500000</v>
      </c>
      <c r="J13" s="14" t="n">
        <v>204900</v>
      </c>
      <c r="K13" s="14" t="n">
        <v>293808</v>
      </c>
      <c r="L13" s="14" t="n">
        <v>1</v>
      </c>
      <c r="M13" s="15" t="inlineStr">
        <is>
          <t>Renewed</t>
        </is>
      </c>
    </row>
    <row r="14">
      <c r="A14" s="7" t="inlineStr">
        <is>
          <t>ADM-HLT-SKT-2024-2009</t>
        </is>
      </c>
      <c r="B14" s="40" t="n">
        <v>45536</v>
      </c>
      <c r="C14" s="7" t="inlineStr">
        <is>
          <t>Sialkot</t>
        </is>
      </c>
      <c r="D14" s="7" t="inlineStr">
        <is>
          <t>Central</t>
        </is>
      </c>
      <c r="E14" s="7" t="inlineStr">
        <is>
          <t>Health</t>
        </is>
      </c>
      <c r="F14" s="7" t="inlineStr">
        <is>
          <t>Direct</t>
        </is>
      </c>
      <c r="G14" s="7" t="inlineStr">
        <is>
          <t>Sobia Naz</t>
        </is>
      </c>
      <c r="H14" s="7" t="inlineStr">
        <is>
          <t>Corporate</t>
        </is>
      </c>
      <c r="I14" s="11" t="n">
        <v>6800000</v>
      </c>
      <c r="J14" s="11" t="n">
        <v>145900</v>
      </c>
      <c r="K14" s="11" t="n">
        <v>101845</v>
      </c>
      <c r="L14" s="11" t="n">
        <v>1</v>
      </c>
      <c r="M14" s="7" t="inlineStr">
        <is>
          <t>Lapsed</t>
        </is>
      </c>
    </row>
    <row r="15">
      <c r="A15" s="15" t="inlineStr">
        <is>
          <t>ADM-MSC-RWP-2024-2010</t>
        </is>
      </c>
      <c r="B15" s="41" t="n">
        <v>45573</v>
      </c>
      <c r="C15" s="15" t="inlineStr">
        <is>
          <t>Rawalpindi</t>
        </is>
      </c>
      <c r="D15" s="15" t="inlineStr">
        <is>
          <t>North</t>
        </is>
      </c>
      <c r="E15" s="15" t="inlineStr">
        <is>
          <t>Miscellaneous</t>
        </is>
      </c>
      <c r="F15" s="15" t="inlineStr">
        <is>
          <t>Agency</t>
        </is>
      </c>
      <c r="G15" s="15" t="inlineStr">
        <is>
          <t>Junaid Akram</t>
        </is>
      </c>
      <c r="H15" s="15" t="inlineStr">
        <is>
          <t>Individual</t>
        </is>
      </c>
      <c r="I15" s="14" t="n">
        <v>1200000</v>
      </c>
      <c r="J15" s="14" t="n">
        <v>20000</v>
      </c>
      <c r="K15" s="14" t="n">
        <v>15603</v>
      </c>
      <c r="L15" s="14" t="n">
        <v>1</v>
      </c>
      <c r="M15" s="15" t="inlineStr">
        <is>
          <t>Cancelled</t>
        </is>
      </c>
    </row>
    <row r="16">
      <c r="A16" s="7" t="inlineStr">
        <is>
          <t>ADM-MAR-KHI-2024-2011</t>
        </is>
      </c>
      <c r="B16" s="40" t="n">
        <v>45611</v>
      </c>
      <c r="C16" s="7" t="inlineStr">
        <is>
          <t>Karachi Main</t>
        </is>
      </c>
      <c r="D16" s="7" t="inlineStr">
        <is>
          <t>South</t>
        </is>
      </c>
      <c r="E16" s="7" t="inlineStr">
        <is>
          <t>Marine Cargo</t>
        </is>
      </c>
      <c r="F16" s="7" t="inlineStr">
        <is>
          <t>Bancassurance</t>
        </is>
      </c>
      <c r="G16" s="7" t="inlineStr">
        <is>
          <t>Hamid Raza</t>
        </is>
      </c>
      <c r="H16" s="7" t="inlineStr">
        <is>
          <t>Corporate</t>
        </is>
      </c>
      <c r="I16" s="11" t="n">
        <v>47000000</v>
      </c>
      <c r="J16" s="11" t="n">
        <v>716000</v>
      </c>
      <c r="K16" s="11" t="n">
        <v>109689</v>
      </c>
      <c r="L16" s="11" t="n">
        <v>1</v>
      </c>
      <c r="M16" s="7" t="inlineStr">
        <is>
          <t>Active</t>
        </is>
      </c>
    </row>
    <row r="17">
      <c r="A17" s="15" t="inlineStr">
        <is>
          <t>ADM-ENG-LHR-2024-2012</t>
        </is>
      </c>
      <c r="B17" s="41" t="n">
        <v>45648</v>
      </c>
      <c r="C17" s="15" t="inlineStr">
        <is>
          <t>Lahore Gulberg</t>
        </is>
      </c>
      <c r="D17" s="15" t="inlineStr">
        <is>
          <t>Central</t>
        </is>
      </c>
      <c r="E17" s="15" t="inlineStr">
        <is>
          <t>Engineering</t>
        </is>
      </c>
      <c r="F17" s="15" t="inlineStr">
        <is>
          <t>Corporate</t>
        </is>
      </c>
      <c r="G17" s="15" t="inlineStr">
        <is>
          <t>Nimra Saleem</t>
        </is>
      </c>
      <c r="H17" s="15" t="inlineStr">
        <is>
          <t>Corporate</t>
        </is>
      </c>
      <c r="I17" s="14" t="n">
        <v>28000000</v>
      </c>
      <c r="J17" s="14" t="n">
        <v>722600</v>
      </c>
      <c r="K17" s="14" t="n">
        <v>919063</v>
      </c>
      <c r="L17" s="14" t="n">
        <v>1</v>
      </c>
      <c r="M17" s="15" t="inlineStr">
        <is>
          <t>Active</t>
        </is>
      </c>
    </row>
    <row r="18">
      <c r="A18" s="7" t="inlineStr">
        <is>
          <t>ADM-FIR-ISB-2024-2013</t>
        </is>
      </c>
      <c r="B18" s="40" t="n">
        <v>45292</v>
      </c>
      <c r="C18" s="7" t="inlineStr">
        <is>
          <t>Islamabad Blue Area</t>
        </is>
      </c>
      <c r="D18" s="7" t="inlineStr">
        <is>
          <t>North</t>
        </is>
      </c>
      <c r="E18" s="7" t="inlineStr">
        <is>
          <t>Fire &amp; Property</t>
        </is>
      </c>
      <c r="F18" s="7" t="inlineStr">
        <is>
          <t>Direct</t>
        </is>
      </c>
      <c r="G18" s="7" t="inlineStr">
        <is>
          <t>Tariq Jameel</t>
        </is>
      </c>
      <c r="H18" s="7" t="inlineStr">
        <is>
          <t>Individual</t>
        </is>
      </c>
      <c r="I18" s="11" t="n">
        <v>19000000</v>
      </c>
      <c r="J18" s="11" t="n">
        <v>472900</v>
      </c>
      <c r="K18" s="11" t="n">
        <v>891308</v>
      </c>
      <c r="L18" s="11" t="n">
        <v>1</v>
      </c>
      <c r="M18" s="7" t="inlineStr">
        <is>
          <t>Renewed</t>
        </is>
      </c>
    </row>
    <row r="19">
      <c r="A19" s="15" t="inlineStr">
        <is>
          <t>ADM-TRV-FSD-2024-2014</t>
        </is>
      </c>
      <c r="B19" s="41" t="n">
        <v>45330</v>
      </c>
      <c r="C19" s="15" t="inlineStr">
        <is>
          <t>Faisalabad</t>
        </is>
      </c>
      <c r="D19" s="15" t="inlineStr">
        <is>
          <t>Central</t>
        </is>
      </c>
      <c r="E19" s="15" t="inlineStr">
        <is>
          <t>Travel</t>
        </is>
      </c>
      <c r="F19" s="15" t="inlineStr">
        <is>
          <t>Agency</t>
        </is>
      </c>
      <c r="G19" s="15" t="inlineStr">
        <is>
          <t>Nadia Hassan</t>
        </is>
      </c>
      <c r="H19" s="15" t="inlineStr">
        <is>
          <t>Corporate</t>
        </is>
      </c>
      <c r="I19" s="14" t="n">
        <v>3400000</v>
      </c>
      <c r="J19" s="14" t="n">
        <v>66300</v>
      </c>
      <c r="K19" s="14" t="n">
        <v>114579</v>
      </c>
      <c r="L19" s="14" t="n">
        <v>1</v>
      </c>
      <c r="M19" s="15" t="inlineStr">
        <is>
          <t>Lapsed</t>
        </is>
      </c>
    </row>
    <row r="20">
      <c r="A20" s="7" t="inlineStr">
        <is>
          <t>ADM-MTR-MUL-2024-2015</t>
        </is>
      </c>
      <c r="B20" s="40" t="n">
        <v>45366</v>
      </c>
      <c r="C20" s="7" t="inlineStr">
        <is>
          <t>Multan</t>
        </is>
      </c>
      <c r="D20" s="7" t="inlineStr">
        <is>
          <t>Central</t>
        </is>
      </c>
      <c r="E20" s="7" t="inlineStr">
        <is>
          <t>Motor</t>
        </is>
      </c>
      <c r="F20" s="7" t="inlineStr">
        <is>
          <t>Bancassurance</t>
        </is>
      </c>
      <c r="G20" s="7" t="inlineStr">
        <is>
          <t>Salman Shah</t>
        </is>
      </c>
      <c r="H20" s="7" t="inlineStr">
        <is>
          <t>Corporate</t>
        </is>
      </c>
      <c r="I20" s="11" t="n">
        <v>28000000</v>
      </c>
      <c r="J20" s="11" t="n">
        <v>502000</v>
      </c>
      <c r="K20" s="11" t="n">
        <v>218330</v>
      </c>
      <c r="L20" s="11" t="n">
        <v>1</v>
      </c>
      <c r="M20" s="7" t="inlineStr">
        <is>
          <t>Cancelled</t>
        </is>
      </c>
    </row>
    <row r="21">
      <c r="A21" s="15" t="inlineStr">
        <is>
          <t>ADM-HLT-PEW-2024-2016</t>
        </is>
      </c>
      <c r="B21" s="41" t="n">
        <v>45404</v>
      </c>
      <c r="C21" s="15" t="inlineStr">
        <is>
          <t>Peshawar</t>
        </is>
      </c>
      <c r="D21" s="15" t="inlineStr">
        <is>
          <t>North</t>
        </is>
      </c>
      <c r="E21" s="15" t="inlineStr">
        <is>
          <t>Health</t>
        </is>
      </c>
      <c r="F21" s="15" t="inlineStr">
        <is>
          <t>Corporate</t>
        </is>
      </c>
      <c r="G21" s="15" t="inlineStr">
        <is>
          <t>Komal Bashir</t>
        </is>
      </c>
      <c r="H21" s="15" t="inlineStr">
        <is>
          <t>Individual</t>
        </is>
      </c>
      <c r="I21" s="14" t="n">
        <v>47000000</v>
      </c>
      <c r="J21" s="14" t="n">
        <v>1011100</v>
      </c>
      <c r="K21" s="14" t="n">
        <v>1308447</v>
      </c>
      <c r="L21" s="14" t="n">
        <v>1</v>
      </c>
      <c r="M21" s="15" t="inlineStr">
        <is>
          <t>Active</t>
        </is>
      </c>
    </row>
    <row r="22">
      <c r="A22" s="7" t="inlineStr">
        <is>
          <t>ADM-MSC-QTA-2024-2017</t>
        </is>
      </c>
      <c r="B22" s="40" t="n">
        <v>45413</v>
      </c>
      <c r="C22" s="7" t="inlineStr">
        <is>
          <t>Quetta</t>
        </is>
      </c>
      <c r="D22" s="7" t="inlineStr">
        <is>
          <t>South</t>
        </is>
      </c>
      <c r="E22" s="7" t="inlineStr">
        <is>
          <t>Miscellaneous</t>
        </is>
      </c>
      <c r="F22" s="7" t="inlineStr">
        <is>
          <t>Direct</t>
        </is>
      </c>
      <c r="G22" s="7" t="inlineStr">
        <is>
          <t>Waqar Younis Khan</t>
        </is>
      </c>
      <c r="H22" s="7" t="inlineStr">
        <is>
          <t>Corporate</t>
        </is>
      </c>
      <c r="I22" s="11" t="n">
        <v>28000000</v>
      </c>
      <c r="J22" s="11" t="n">
        <v>240800</v>
      </c>
      <c r="K22" s="11" t="n">
        <v>175880</v>
      </c>
      <c r="L22" s="11" t="n">
        <v>1</v>
      </c>
      <c r="M22" s="7" t="inlineStr">
        <is>
          <t>Active</t>
        </is>
      </c>
    </row>
    <row r="23">
      <c r="A23" s="15" t="inlineStr">
        <is>
          <t>ADM-MAR-HYD-2024-2018</t>
        </is>
      </c>
      <c r="B23" s="41" t="n">
        <v>45451</v>
      </c>
      <c r="C23" s="15" t="inlineStr">
        <is>
          <t>Hyderabad</t>
        </is>
      </c>
      <c r="D23" s="15" t="inlineStr">
        <is>
          <t>South</t>
        </is>
      </c>
      <c r="E23" s="15" t="inlineStr">
        <is>
          <t>Marine Cargo</t>
        </is>
      </c>
      <c r="F23" s="15" t="inlineStr">
        <is>
          <t>Agency</t>
        </is>
      </c>
      <c r="G23" s="15" t="inlineStr">
        <is>
          <t>Amna Zubair</t>
        </is>
      </c>
      <c r="H23" s="15" t="inlineStr">
        <is>
          <t>Corporate</t>
        </is>
      </c>
      <c r="I23" s="14" t="n">
        <v>6800000</v>
      </c>
      <c r="J23" s="14" t="n">
        <v>191900</v>
      </c>
      <c r="K23" s="14" t="n">
        <v>307821</v>
      </c>
      <c r="L23" s="14" t="n">
        <v>1</v>
      </c>
      <c r="M23" s="15" t="inlineStr">
        <is>
          <t>Renewed</t>
        </is>
      </c>
    </row>
    <row r="24">
      <c r="A24" s="7" t="inlineStr">
        <is>
          <t>ADM-ENG-SKT-2024-2019</t>
        </is>
      </c>
      <c r="B24" s="40" t="n">
        <v>45488</v>
      </c>
      <c r="C24" s="7" t="inlineStr">
        <is>
          <t>Sialkot</t>
        </is>
      </c>
      <c r="D24" s="7" t="inlineStr">
        <is>
          <t>Central</t>
        </is>
      </c>
      <c r="E24" s="7" t="inlineStr">
        <is>
          <t>Engineering</t>
        </is>
      </c>
      <c r="F24" s="7" t="inlineStr">
        <is>
          <t>Bancassurance</t>
        </is>
      </c>
      <c r="G24" s="7" t="inlineStr">
        <is>
          <t>Rizwan Ali Soomro</t>
        </is>
      </c>
      <c r="H24" s="7" t="inlineStr">
        <is>
          <t>Individual</t>
        </is>
      </c>
      <c r="I24" s="11" t="n">
        <v>28000000</v>
      </c>
      <c r="J24" s="11" t="n">
        <v>576800</v>
      </c>
      <c r="K24" s="11" t="n">
        <v>942646</v>
      </c>
      <c r="L24" s="11" t="n">
        <v>1</v>
      </c>
      <c r="M24" s="7" t="inlineStr">
        <is>
          <t>Lapsed</t>
        </is>
      </c>
    </row>
    <row r="25">
      <c r="A25" s="15" t="inlineStr">
        <is>
          <t>ADM-FIR-RWP-2024-2020</t>
        </is>
      </c>
      <c r="B25" s="41" t="n">
        <v>45526</v>
      </c>
      <c r="C25" s="15" t="inlineStr">
        <is>
          <t>Rawalpindi</t>
        </is>
      </c>
      <c r="D25" s="15" t="inlineStr">
        <is>
          <t>North</t>
        </is>
      </c>
      <c r="E25" s="15" t="inlineStr">
        <is>
          <t>Fire &amp; Property</t>
        </is>
      </c>
      <c r="F25" s="15" t="inlineStr">
        <is>
          <t>Corporate</t>
        </is>
      </c>
      <c r="G25" s="15" t="inlineStr">
        <is>
          <t>Farhan Dar</t>
        </is>
      </c>
      <c r="H25" s="15" t="inlineStr">
        <is>
          <t>Corporate</t>
        </is>
      </c>
      <c r="I25" s="14" t="n">
        <v>3400000</v>
      </c>
      <c r="J25" s="14" t="n">
        <v>36800</v>
      </c>
      <c r="K25" s="14" t="n">
        <v>46076</v>
      </c>
      <c r="L25" s="14" t="n">
        <v>1</v>
      </c>
      <c r="M25" s="15" t="inlineStr">
        <is>
          <t>Cancelled</t>
        </is>
      </c>
    </row>
    <row r="26">
      <c r="A26" s="7" t="inlineStr">
        <is>
          <t>ADM-TRV-KHI-2024-2021</t>
        </is>
      </c>
      <c r="B26" s="40" t="n">
        <v>45536</v>
      </c>
      <c r="C26" s="7" t="inlineStr">
        <is>
          <t>Karachi Main</t>
        </is>
      </c>
      <c r="D26" s="7" t="inlineStr">
        <is>
          <t>South</t>
        </is>
      </c>
      <c r="E26" s="7" t="inlineStr">
        <is>
          <t>Travel</t>
        </is>
      </c>
      <c r="F26" s="7" t="inlineStr">
        <is>
          <t>Direct</t>
        </is>
      </c>
      <c r="G26" s="7" t="inlineStr">
        <is>
          <t>Sobia Naz</t>
        </is>
      </c>
      <c r="H26" s="7" t="inlineStr">
        <is>
          <t>Corporate</t>
        </is>
      </c>
      <c r="I26" s="11" t="n">
        <v>19000000</v>
      </c>
      <c r="J26" s="11" t="n">
        <v>161800</v>
      </c>
      <c r="K26" s="11" t="n">
        <v>221138</v>
      </c>
      <c r="L26" s="11" t="n">
        <v>1</v>
      </c>
      <c r="M26" s="7" t="inlineStr">
        <is>
          <t>Active</t>
        </is>
      </c>
    </row>
    <row r="27">
      <c r="A27" s="15" t="inlineStr">
        <is>
          <t>ADM-MTR-LHR-2024-2022</t>
        </is>
      </c>
      <c r="B27" s="41" t="n">
        <v>45573</v>
      </c>
      <c r="C27" s="15" t="inlineStr">
        <is>
          <t>Lahore Gulberg</t>
        </is>
      </c>
      <c r="D27" s="15" t="inlineStr">
        <is>
          <t>Central</t>
        </is>
      </c>
      <c r="E27" s="15" t="inlineStr">
        <is>
          <t>Motor</t>
        </is>
      </c>
      <c r="F27" s="15" t="inlineStr">
        <is>
          <t>Agency</t>
        </is>
      </c>
      <c r="G27" s="15" t="inlineStr">
        <is>
          <t>Junaid Akram</t>
        </is>
      </c>
      <c r="H27" s="15" t="inlineStr">
        <is>
          <t>Individual</t>
        </is>
      </c>
      <c r="I27" s="14" t="n">
        <v>72000000</v>
      </c>
      <c r="J27" s="14" t="n">
        <v>1055500</v>
      </c>
      <c r="K27" s="14" t="n">
        <v>844771</v>
      </c>
      <c r="L27" s="14" t="n">
        <v>1</v>
      </c>
      <c r="M27" s="15" t="inlineStr">
        <is>
          <t>Active</t>
        </is>
      </c>
    </row>
    <row r="28">
      <c r="A28" s="7" t="inlineStr">
        <is>
          <t>ADM-HLT-ISB-2024-2023</t>
        </is>
      </c>
      <c r="B28" s="40" t="n">
        <v>45611</v>
      </c>
      <c r="C28" s="7" t="inlineStr">
        <is>
          <t>Islamabad Blue Area</t>
        </is>
      </c>
      <c r="D28" s="7" t="inlineStr">
        <is>
          <t>North</t>
        </is>
      </c>
      <c r="E28" s="7" t="inlineStr">
        <is>
          <t>Health</t>
        </is>
      </c>
      <c r="F28" s="7" t="inlineStr">
        <is>
          <t>Bancassurance</t>
        </is>
      </c>
      <c r="G28" s="7" t="inlineStr">
        <is>
          <t>Hamid Raza</t>
        </is>
      </c>
      <c r="H28" s="7" t="inlineStr">
        <is>
          <t>Corporate</t>
        </is>
      </c>
      <c r="I28" s="11" t="n">
        <v>1200000</v>
      </c>
      <c r="J28" s="11" t="n">
        <v>6400</v>
      </c>
      <c r="K28" s="11" t="n">
        <v>498</v>
      </c>
      <c r="L28" s="11" t="n">
        <v>1</v>
      </c>
      <c r="M28" s="7" t="inlineStr">
        <is>
          <t>Renewed</t>
        </is>
      </c>
    </row>
    <row r="29">
      <c r="A29" s="15" t="inlineStr">
        <is>
          <t>ADM-MSC-FSD-2024-2024</t>
        </is>
      </c>
      <c r="B29" s="41" t="n">
        <v>45648</v>
      </c>
      <c r="C29" s="15" t="inlineStr">
        <is>
          <t>Faisalabad</t>
        </is>
      </c>
      <c r="D29" s="15" t="inlineStr">
        <is>
          <t>Central</t>
        </is>
      </c>
      <c r="E29" s="15" t="inlineStr">
        <is>
          <t>Miscellaneous</t>
        </is>
      </c>
      <c r="F29" s="15" t="inlineStr">
        <is>
          <t>Corporate</t>
        </is>
      </c>
      <c r="G29" s="15" t="inlineStr">
        <is>
          <t>Nimra Saleem</t>
        </is>
      </c>
      <c r="H29" s="15" t="inlineStr">
        <is>
          <t>Corporate</t>
        </is>
      </c>
      <c r="I29" s="14" t="n">
        <v>1200000</v>
      </c>
      <c r="J29" s="14" t="n">
        <v>33200</v>
      </c>
      <c r="K29" s="14" t="n">
        <v>32745</v>
      </c>
      <c r="L29" s="14" t="n">
        <v>1</v>
      </c>
      <c r="M29" s="15" t="inlineStr">
        <is>
          <t>Lapsed</t>
        </is>
      </c>
    </row>
    <row r="30">
      <c r="A30" s="7" t="inlineStr">
        <is>
          <t>ADM-MAR-MUL-2024-2025</t>
        </is>
      </c>
      <c r="B30" s="40" t="n">
        <v>45292</v>
      </c>
      <c r="C30" s="7" t="inlineStr">
        <is>
          <t>Multan</t>
        </is>
      </c>
      <c r="D30" s="7" t="inlineStr">
        <is>
          <t>Central</t>
        </is>
      </c>
      <c r="E30" s="7" t="inlineStr">
        <is>
          <t>Marine Cargo</t>
        </is>
      </c>
      <c r="F30" s="7" t="inlineStr">
        <is>
          <t>Direct</t>
        </is>
      </c>
      <c r="G30" s="7" t="inlineStr">
        <is>
          <t>Tariq Jameel</t>
        </is>
      </c>
      <c r="H30" s="7" t="inlineStr">
        <is>
          <t>Individual</t>
        </is>
      </c>
      <c r="I30" s="11" t="n">
        <v>11500000</v>
      </c>
      <c r="J30" s="11" t="n">
        <v>208500</v>
      </c>
      <c r="K30" s="11" t="n">
        <v>71918</v>
      </c>
      <c r="L30" s="11" t="n">
        <v>1</v>
      </c>
      <c r="M30" s="7" t="inlineStr">
        <is>
          <t>Cancelled</t>
        </is>
      </c>
    </row>
    <row r="31">
      <c r="A31" s="15" t="inlineStr">
        <is>
          <t>ADM-ENG-PEW-2024-2026</t>
        </is>
      </c>
      <c r="B31" s="41" t="n">
        <v>45330</v>
      </c>
      <c r="C31" s="15" t="inlineStr">
        <is>
          <t>Peshawar</t>
        </is>
      </c>
      <c r="D31" s="15" t="inlineStr">
        <is>
          <t>North</t>
        </is>
      </c>
      <c r="E31" s="15" t="inlineStr">
        <is>
          <t>Engineering</t>
        </is>
      </c>
      <c r="F31" s="15" t="inlineStr">
        <is>
          <t>Agency</t>
        </is>
      </c>
      <c r="G31" s="15" t="inlineStr">
        <is>
          <t>Nadia Hassan</t>
        </is>
      </c>
      <c r="H31" s="15" t="inlineStr">
        <is>
          <t>Corporate</t>
        </is>
      </c>
      <c r="I31" s="14" t="n">
        <v>1200000</v>
      </c>
      <c r="J31" s="14" t="n">
        <v>29100</v>
      </c>
      <c r="K31" s="14" t="n">
        <v>4151</v>
      </c>
      <c r="L31" s="14" t="n">
        <v>1</v>
      </c>
      <c r="M31" s="15" t="inlineStr">
        <is>
          <t>Active</t>
        </is>
      </c>
    </row>
    <row r="32">
      <c r="A32" s="7" t="inlineStr">
        <is>
          <t>ADM-FIR-QTA-2024-2027</t>
        </is>
      </c>
      <c r="B32" s="40" t="n">
        <v>45366</v>
      </c>
      <c r="C32" s="7" t="inlineStr">
        <is>
          <t>Quetta</t>
        </is>
      </c>
      <c r="D32" s="7" t="inlineStr">
        <is>
          <t>South</t>
        </is>
      </c>
      <c r="E32" s="7" t="inlineStr">
        <is>
          <t>Fire &amp; Property</t>
        </is>
      </c>
      <c r="F32" s="7" t="inlineStr">
        <is>
          <t>Bancassurance</t>
        </is>
      </c>
      <c r="G32" s="7" t="inlineStr">
        <is>
          <t>Salman Shah</t>
        </is>
      </c>
      <c r="H32" s="7" t="inlineStr">
        <is>
          <t>Corporate</t>
        </is>
      </c>
      <c r="I32" s="11" t="n">
        <v>1200000</v>
      </c>
      <c r="J32" s="11" t="n">
        <v>9500</v>
      </c>
      <c r="K32" s="11" t="n">
        <v>12702</v>
      </c>
      <c r="L32" s="11" t="n">
        <v>1</v>
      </c>
      <c r="M32" s="7" t="inlineStr">
        <is>
          <t>Active</t>
        </is>
      </c>
    </row>
    <row r="33">
      <c r="A33" s="15" t="inlineStr">
        <is>
          <t>ADM-TRV-HYD-2024-2028</t>
        </is>
      </c>
      <c r="B33" s="41" t="n">
        <v>45404</v>
      </c>
      <c r="C33" s="15" t="inlineStr">
        <is>
          <t>Hyderabad</t>
        </is>
      </c>
      <c r="D33" s="15" t="inlineStr">
        <is>
          <t>South</t>
        </is>
      </c>
      <c r="E33" s="15" t="inlineStr">
        <is>
          <t>Travel</t>
        </is>
      </c>
      <c r="F33" s="15" t="inlineStr">
        <is>
          <t>Corporate</t>
        </is>
      </c>
      <c r="G33" s="15" t="inlineStr">
        <is>
          <t>Komal Bashir</t>
        </is>
      </c>
      <c r="H33" s="15" t="inlineStr">
        <is>
          <t>Individual</t>
        </is>
      </c>
      <c r="I33" s="14" t="n">
        <v>19000000</v>
      </c>
      <c r="J33" s="14" t="n">
        <v>477300</v>
      </c>
      <c r="K33" s="14" t="n">
        <v>729502</v>
      </c>
      <c r="L33" s="14" t="n">
        <v>1</v>
      </c>
      <c r="M33" s="15" t="inlineStr">
        <is>
          <t>Renewed</t>
        </is>
      </c>
    </row>
    <row r="34">
      <c r="A34" s="7" t="inlineStr">
        <is>
          <t>ADM-MTR-SKT-2024-2029</t>
        </is>
      </c>
      <c r="B34" s="40" t="n">
        <v>45413</v>
      </c>
      <c r="C34" s="7" t="inlineStr">
        <is>
          <t>Sialkot</t>
        </is>
      </c>
      <c r="D34" s="7" t="inlineStr">
        <is>
          <t>Central</t>
        </is>
      </c>
      <c r="E34" s="7" t="inlineStr">
        <is>
          <t>Motor</t>
        </is>
      </c>
      <c r="F34" s="7" t="inlineStr">
        <is>
          <t>Direct</t>
        </is>
      </c>
      <c r="G34" s="7" t="inlineStr">
        <is>
          <t>Waqar Younis Khan</t>
        </is>
      </c>
      <c r="H34" s="7" t="inlineStr">
        <is>
          <t>Corporate</t>
        </is>
      </c>
      <c r="I34" s="11" t="n">
        <v>1200000</v>
      </c>
      <c r="J34" s="11" t="n">
        <v>29800</v>
      </c>
      <c r="K34" s="11" t="n">
        <v>28455</v>
      </c>
      <c r="L34" s="11" t="n">
        <v>1</v>
      </c>
      <c r="M34" s="7" t="inlineStr">
        <is>
          <t>Lapsed</t>
        </is>
      </c>
    </row>
    <row r="35">
      <c r="A35" s="15" t="inlineStr">
        <is>
          <t>ADM-HLT-RWP-2024-2030</t>
        </is>
      </c>
      <c r="B35" s="41" t="n">
        <v>45451</v>
      </c>
      <c r="C35" s="15" t="inlineStr">
        <is>
          <t>Rawalpindi</t>
        </is>
      </c>
      <c r="D35" s="15" t="inlineStr">
        <is>
          <t>North</t>
        </is>
      </c>
      <c r="E35" s="15" t="inlineStr">
        <is>
          <t>Health</t>
        </is>
      </c>
      <c r="F35" s="15" t="inlineStr">
        <is>
          <t>Agency</t>
        </is>
      </c>
      <c r="G35" s="15" t="inlineStr">
        <is>
          <t>Amna Zubair</t>
        </is>
      </c>
      <c r="H35" s="15" t="inlineStr">
        <is>
          <t>Corporate</t>
        </is>
      </c>
      <c r="I35" s="14" t="n">
        <v>1200000</v>
      </c>
      <c r="J35" s="14" t="n">
        <v>22700</v>
      </c>
      <c r="K35" s="14" t="n">
        <v>10619</v>
      </c>
      <c r="L35" s="14" t="n">
        <v>1</v>
      </c>
      <c r="M35" s="15" t="inlineStr">
        <is>
          <t>Cancelled</t>
        </is>
      </c>
    </row>
    <row r="36">
      <c r="A36" s="7" t="inlineStr">
        <is>
          <t>ADM-MSC-KHI-2024-2031</t>
        </is>
      </c>
      <c r="B36" s="40" t="n">
        <v>45488</v>
      </c>
      <c r="C36" s="7" t="inlineStr">
        <is>
          <t>Karachi Main</t>
        </is>
      </c>
      <c r="D36" s="7" t="inlineStr">
        <is>
          <t>South</t>
        </is>
      </c>
      <c r="E36" s="7" t="inlineStr">
        <is>
          <t>Miscellaneous</t>
        </is>
      </c>
      <c r="F36" s="7" t="inlineStr">
        <is>
          <t>Bancassurance</t>
        </is>
      </c>
      <c r="G36" s="7" t="inlineStr">
        <is>
          <t>Rizwan Ali Soomro</t>
        </is>
      </c>
      <c r="H36" s="7" t="inlineStr">
        <is>
          <t>Individual</t>
        </is>
      </c>
      <c r="I36" s="11" t="n">
        <v>47000000</v>
      </c>
      <c r="J36" s="11" t="n">
        <v>322500</v>
      </c>
      <c r="K36" s="11" t="n">
        <v>38715</v>
      </c>
      <c r="L36" s="11" t="n">
        <v>1</v>
      </c>
      <c r="M36" s="7" t="inlineStr">
        <is>
          <t>Active</t>
        </is>
      </c>
    </row>
    <row r="37">
      <c r="A37" s="15" t="inlineStr">
        <is>
          <t>ADM-MAR-LHR-2024-2032</t>
        </is>
      </c>
      <c r="B37" s="41" t="n">
        <v>45526</v>
      </c>
      <c r="C37" s="15" t="inlineStr">
        <is>
          <t>Lahore Gulberg</t>
        </is>
      </c>
      <c r="D37" s="15" t="inlineStr">
        <is>
          <t>Central</t>
        </is>
      </c>
      <c r="E37" s="15" t="inlineStr">
        <is>
          <t>Marine Cargo</t>
        </is>
      </c>
      <c r="F37" s="15" t="inlineStr">
        <is>
          <t>Corporate</t>
        </is>
      </c>
      <c r="G37" s="15" t="inlineStr">
        <is>
          <t>Farhan Dar</t>
        </is>
      </c>
      <c r="H37" s="15" t="inlineStr">
        <is>
          <t>Corporate</t>
        </is>
      </c>
      <c r="I37" s="14" t="n">
        <v>3400000</v>
      </c>
      <c r="J37" s="14" t="n">
        <v>25600</v>
      </c>
      <c r="K37" s="14" t="n">
        <v>20754</v>
      </c>
      <c r="L37" s="14" t="n">
        <v>1</v>
      </c>
      <c r="M37" s="15" t="inlineStr">
        <is>
          <t>Active</t>
        </is>
      </c>
    </row>
    <row r="38">
      <c r="A38" s="7" t="inlineStr">
        <is>
          <t>ADM-ENG-ISB-2024-2033</t>
        </is>
      </c>
      <c r="B38" s="40" t="n">
        <v>45536</v>
      </c>
      <c r="C38" s="7" t="inlineStr">
        <is>
          <t>Islamabad Blue Area</t>
        </is>
      </c>
      <c r="D38" s="7" t="inlineStr">
        <is>
          <t>North</t>
        </is>
      </c>
      <c r="E38" s="7" t="inlineStr">
        <is>
          <t>Engineering</t>
        </is>
      </c>
      <c r="F38" s="7" t="inlineStr">
        <is>
          <t>Direct</t>
        </is>
      </c>
      <c r="G38" s="7" t="inlineStr">
        <is>
          <t>Sobia Naz</t>
        </is>
      </c>
      <c r="H38" s="7" t="inlineStr">
        <is>
          <t>Corporate</t>
        </is>
      </c>
      <c r="I38" s="11" t="n">
        <v>3400000</v>
      </c>
      <c r="J38" s="11" t="n">
        <v>75400</v>
      </c>
      <c r="K38" s="11" t="n">
        <v>115086</v>
      </c>
      <c r="L38" s="11" t="n">
        <v>1</v>
      </c>
      <c r="M38" s="7" t="inlineStr">
        <is>
          <t>Renewed</t>
        </is>
      </c>
    </row>
    <row r="39">
      <c r="A39" s="15" t="inlineStr">
        <is>
          <t>ADM-FIR-FSD-2024-2034</t>
        </is>
      </c>
      <c r="B39" s="41" t="n">
        <v>45573</v>
      </c>
      <c r="C39" s="15" t="inlineStr">
        <is>
          <t>Faisalabad</t>
        </is>
      </c>
      <c r="D39" s="15" t="inlineStr">
        <is>
          <t>Central</t>
        </is>
      </c>
      <c r="E39" s="15" t="inlineStr">
        <is>
          <t>Fire &amp; Property</t>
        </is>
      </c>
      <c r="F39" s="15" t="inlineStr">
        <is>
          <t>Agency</t>
        </is>
      </c>
      <c r="G39" s="15" t="inlineStr">
        <is>
          <t>Junaid Akram</t>
        </is>
      </c>
      <c r="H39" s="15" t="inlineStr">
        <is>
          <t>Individual</t>
        </is>
      </c>
      <c r="I39" s="14" t="n">
        <v>47000000</v>
      </c>
      <c r="J39" s="14" t="n">
        <v>850800</v>
      </c>
      <c r="K39" s="14" t="n">
        <v>1420024</v>
      </c>
      <c r="L39" s="14" t="n">
        <v>1</v>
      </c>
      <c r="M39" s="15" t="inlineStr">
        <is>
          <t>Lapsed</t>
        </is>
      </c>
    </row>
    <row r="40">
      <c r="A40" s="7" t="inlineStr">
        <is>
          <t>ADM-TRV-MUL-2024-2035</t>
        </is>
      </c>
      <c r="B40" s="40" t="n">
        <v>45611</v>
      </c>
      <c r="C40" s="7" t="inlineStr">
        <is>
          <t>Multan</t>
        </is>
      </c>
      <c r="D40" s="7" t="inlineStr">
        <is>
          <t>Central</t>
        </is>
      </c>
      <c r="E40" s="7" t="inlineStr">
        <is>
          <t>Travel</t>
        </is>
      </c>
      <c r="F40" s="7" t="inlineStr">
        <is>
          <t>Bancassurance</t>
        </is>
      </c>
      <c r="G40" s="7" t="inlineStr">
        <is>
          <t>Hamid Raza</t>
        </is>
      </c>
      <c r="H40" s="7" t="inlineStr">
        <is>
          <t>Corporate</t>
        </is>
      </c>
      <c r="I40" s="11" t="n">
        <v>1200000</v>
      </c>
      <c r="J40" s="11" t="n">
        <v>33800</v>
      </c>
      <c r="K40" s="11" t="n">
        <v>30579</v>
      </c>
      <c r="L40" s="11" t="n">
        <v>1</v>
      </c>
      <c r="M40" s="7" t="inlineStr">
        <is>
          <t>Cancelled</t>
        </is>
      </c>
    </row>
    <row r="41">
      <c r="A41" s="15" t="inlineStr">
        <is>
          <t>ADM-MTR-PEW-2024-2036</t>
        </is>
      </c>
      <c r="B41" s="41" t="n">
        <v>45648</v>
      </c>
      <c r="C41" s="15" t="inlineStr">
        <is>
          <t>Peshawar</t>
        </is>
      </c>
      <c r="D41" s="15" t="inlineStr">
        <is>
          <t>North</t>
        </is>
      </c>
      <c r="E41" s="15" t="inlineStr">
        <is>
          <t>Motor</t>
        </is>
      </c>
      <c r="F41" s="15" t="inlineStr">
        <is>
          <t>Corporate</t>
        </is>
      </c>
      <c r="G41" s="15" t="inlineStr">
        <is>
          <t>Nimra Saleem</t>
        </is>
      </c>
      <c r="H41" s="15" t="inlineStr">
        <is>
          <t>Corporate</t>
        </is>
      </c>
      <c r="I41" s="14" t="n">
        <v>72000000</v>
      </c>
      <c r="J41" s="14" t="n">
        <v>565300</v>
      </c>
      <c r="K41" s="14" t="n">
        <v>412203</v>
      </c>
      <c r="L41" s="14" t="n">
        <v>1</v>
      </c>
      <c r="M41" s="15" t="inlineStr">
        <is>
          <t>Active</t>
        </is>
      </c>
    </row>
    <row r="42">
      <c r="A42" s="7" t="inlineStr">
        <is>
          <t>ADM-HLT-QTA-2024-2037</t>
        </is>
      </c>
      <c r="B42" s="40" t="n">
        <v>45292</v>
      </c>
      <c r="C42" s="7" t="inlineStr">
        <is>
          <t>Quetta</t>
        </is>
      </c>
      <c r="D42" s="7" t="inlineStr">
        <is>
          <t>South</t>
        </is>
      </c>
      <c r="E42" s="7" t="inlineStr">
        <is>
          <t>Health</t>
        </is>
      </c>
      <c r="F42" s="7" t="inlineStr">
        <is>
          <t>Direct</t>
        </is>
      </c>
      <c r="G42" s="7" t="inlineStr">
        <is>
          <t>Tariq Jameel</t>
        </is>
      </c>
      <c r="H42" s="7" t="inlineStr">
        <is>
          <t>Individual</t>
        </is>
      </c>
      <c r="I42" s="11" t="n">
        <v>6800000</v>
      </c>
      <c r="J42" s="11" t="n">
        <v>67400</v>
      </c>
      <c r="K42" s="11" t="n">
        <v>48692</v>
      </c>
      <c r="L42" s="11" t="n">
        <v>1</v>
      </c>
      <c r="M42" s="7" t="inlineStr">
        <is>
          <t>Active</t>
        </is>
      </c>
    </row>
    <row r="43">
      <c r="A43" s="15" t="inlineStr">
        <is>
          <t>ADM-MSC-HYD-2024-2038</t>
        </is>
      </c>
      <c r="B43" s="41" t="n">
        <v>45330</v>
      </c>
      <c r="C43" s="15" t="inlineStr">
        <is>
          <t>Hyderabad</t>
        </is>
      </c>
      <c r="D43" s="15" t="inlineStr">
        <is>
          <t>South</t>
        </is>
      </c>
      <c r="E43" s="15" t="inlineStr">
        <is>
          <t>Miscellaneous</t>
        </is>
      </c>
      <c r="F43" s="15" t="inlineStr">
        <is>
          <t>Agency</t>
        </is>
      </c>
      <c r="G43" s="15" t="inlineStr">
        <is>
          <t>Nadia Hassan</t>
        </is>
      </c>
      <c r="H43" s="15" t="inlineStr">
        <is>
          <t>Corporate</t>
        </is>
      </c>
      <c r="I43" s="14" t="n">
        <v>72000000</v>
      </c>
      <c r="J43" s="14" t="n">
        <v>1545300</v>
      </c>
      <c r="K43" s="14" t="n">
        <v>2216356</v>
      </c>
      <c r="L43" s="14" t="n">
        <v>1</v>
      </c>
      <c r="M43" s="15" t="inlineStr">
        <is>
          <t>Renewed</t>
        </is>
      </c>
    </row>
    <row r="44">
      <c r="A44" s="7" t="inlineStr">
        <is>
          <t>ADM-MAR-SKT-2024-2039</t>
        </is>
      </c>
      <c r="B44" s="40" t="n">
        <v>45366</v>
      </c>
      <c r="C44" s="7" t="inlineStr">
        <is>
          <t>Sialkot</t>
        </is>
      </c>
      <c r="D44" s="7" t="inlineStr">
        <is>
          <t>Central</t>
        </is>
      </c>
      <c r="E44" s="7" t="inlineStr">
        <is>
          <t>Marine Cargo</t>
        </is>
      </c>
      <c r="F44" s="7" t="inlineStr">
        <is>
          <t>Bancassurance</t>
        </is>
      </c>
      <c r="G44" s="7" t="inlineStr">
        <is>
          <t>Salman Shah</t>
        </is>
      </c>
      <c r="H44" s="7" t="inlineStr">
        <is>
          <t>Corporate</t>
        </is>
      </c>
      <c r="I44" s="11" t="n">
        <v>6800000</v>
      </c>
      <c r="J44" s="11" t="n">
        <v>69600</v>
      </c>
      <c r="K44" s="11" t="n">
        <v>27900</v>
      </c>
      <c r="L44" s="11" t="n">
        <v>1</v>
      </c>
      <c r="M44" s="7" t="inlineStr">
        <is>
          <t>Lapsed</t>
        </is>
      </c>
    </row>
    <row r="45">
      <c r="A45" s="15" t="inlineStr">
        <is>
          <t>ADM-ENG-RWP-2024-2040</t>
        </is>
      </c>
      <c r="B45" s="41" t="n">
        <v>45404</v>
      </c>
      <c r="C45" s="15" t="inlineStr">
        <is>
          <t>Rawalpindi</t>
        </is>
      </c>
      <c r="D45" s="15" t="inlineStr">
        <is>
          <t>North</t>
        </is>
      </c>
      <c r="E45" s="15" t="inlineStr">
        <is>
          <t>Engineering</t>
        </is>
      </c>
      <c r="F45" s="15" t="inlineStr">
        <is>
          <t>Corporate</t>
        </is>
      </c>
      <c r="G45" s="15" t="inlineStr">
        <is>
          <t>Komal Bashir</t>
        </is>
      </c>
      <c r="H45" s="15" t="inlineStr">
        <is>
          <t>Individual</t>
        </is>
      </c>
      <c r="I45" s="14" t="n">
        <v>19000000</v>
      </c>
      <c r="J45" s="14" t="n">
        <v>342100</v>
      </c>
      <c r="K45" s="14" t="n">
        <v>194150</v>
      </c>
      <c r="L45" s="14" t="n">
        <v>1</v>
      </c>
      <c r="M45" s="15" t="inlineStr">
        <is>
          <t>Cancelled</t>
        </is>
      </c>
    </row>
    <row r="46">
      <c r="A46" s="7" t="inlineStr">
        <is>
          <t>ADM-FIR-KHI-2024-2041</t>
        </is>
      </c>
      <c r="B46" s="40" t="n">
        <v>45413</v>
      </c>
      <c r="C46" s="7" t="inlineStr">
        <is>
          <t>Karachi Main</t>
        </is>
      </c>
      <c r="D46" s="7" t="inlineStr">
        <is>
          <t>South</t>
        </is>
      </c>
      <c r="E46" s="7" t="inlineStr">
        <is>
          <t>Fire &amp; Property</t>
        </is>
      </c>
      <c r="F46" s="7" t="inlineStr">
        <is>
          <t>Direct</t>
        </is>
      </c>
      <c r="G46" s="7" t="inlineStr">
        <is>
          <t>Waqar Younis Khan</t>
        </is>
      </c>
      <c r="H46" s="7" t="inlineStr">
        <is>
          <t>Corporate</t>
        </is>
      </c>
      <c r="I46" s="11" t="n">
        <v>1200000</v>
      </c>
      <c r="J46" s="11" t="n">
        <v>33100</v>
      </c>
      <c r="K46" s="11" t="n">
        <v>22602</v>
      </c>
      <c r="L46" s="11" t="n">
        <v>1</v>
      </c>
      <c r="M46" s="7" t="inlineStr">
        <is>
          <t>Active</t>
        </is>
      </c>
    </row>
    <row r="47">
      <c r="A47" s="15" t="inlineStr">
        <is>
          <t>ADM-TRV-LHR-2024-2042</t>
        </is>
      </c>
      <c r="B47" s="41" t="n">
        <v>45451</v>
      </c>
      <c r="C47" s="15" t="inlineStr">
        <is>
          <t>Lahore Gulberg</t>
        </is>
      </c>
      <c r="D47" s="15" t="inlineStr">
        <is>
          <t>Central</t>
        </is>
      </c>
      <c r="E47" s="15" t="inlineStr">
        <is>
          <t>Travel</t>
        </is>
      </c>
      <c r="F47" s="15" t="inlineStr">
        <is>
          <t>Agency</t>
        </is>
      </c>
      <c r="G47" s="15" t="inlineStr">
        <is>
          <t>Amna Zubair</t>
        </is>
      </c>
      <c r="H47" s="15" t="inlineStr">
        <is>
          <t>Corporate</t>
        </is>
      </c>
      <c r="I47" s="14" t="n">
        <v>1200000</v>
      </c>
      <c r="J47" s="14" t="n">
        <v>33900</v>
      </c>
      <c r="K47" s="14" t="n">
        <v>38937</v>
      </c>
      <c r="L47" s="14" t="n">
        <v>1</v>
      </c>
      <c r="M47" s="15" t="inlineStr">
        <is>
          <t>Active</t>
        </is>
      </c>
    </row>
    <row r="48">
      <c r="A48" s="7" t="inlineStr">
        <is>
          <t>ADM-MTR-ISB-2024-2043</t>
        </is>
      </c>
      <c r="B48" s="40" t="n">
        <v>45488</v>
      </c>
      <c r="C48" s="7" t="inlineStr">
        <is>
          <t>Islamabad Blue Area</t>
        </is>
      </c>
      <c r="D48" s="7" t="inlineStr">
        <is>
          <t>North</t>
        </is>
      </c>
      <c r="E48" s="7" t="inlineStr">
        <is>
          <t>Motor</t>
        </is>
      </c>
      <c r="F48" s="7" t="inlineStr">
        <is>
          <t>Bancassurance</t>
        </is>
      </c>
      <c r="G48" s="7" t="inlineStr">
        <is>
          <t>Rizwan Ali Soomro</t>
        </is>
      </c>
      <c r="H48" s="7" t="inlineStr">
        <is>
          <t>Individual</t>
        </is>
      </c>
      <c r="I48" s="11" t="n">
        <v>1200000</v>
      </c>
      <c r="J48" s="11" t="n">
        <v>32500</v>
      </c>
      <c r="K48" s="11" t="n">
        <v>832</v>
      </c>
      <c r="L48" s="11" t="n">
        <v>1</v>
      </c>
      <c r="M48" s="7" t="inlineStr">
        <is>
          <t>Renewed</t>
        </is>
      </c>
    </row>
    <row r="49">
      <c r="A49" s="15" t="inlineStr">
        <is>
          <t>ADM-HLT-FSD-2024-2044</t>
        </is>
      </c>
      <c r="B49" s="41" t="n">
        <v>45526</v>
      </c>
      <c r="C49" s="15" t="inlineStr">
        <is>
          <t>Faisalabad</t>
        </is>
      </c>
      <c r="D49" s="15" t="inlineStr">
        <is>
          <t>Central</t>
        </is>
      </c>
      <c r="E49" s="15" t="inlineStr">
        <is>
          <t>Health</t>
        </is>
      </c>
      <c r="F49" s="15" t="inlineStr">
        <is>
          <t>Corporate</t>
        </is>
      </c>
      <c r="G49" s="15" t="inlineStr">
        <is>
          <t>Farhan Dar</t>
        </is>
      </c>
      <c r="H49" s="15" t="inlineStr">
        <is>
          <t>Corporate</t>
        </is>
      </c>
      <c r="I49" s="14" t="n">
        <v>19000000</v>
      </c>
      <c r="J49" s="14" t="n">
        <v>533700</v>
      </c>
      <c r="K49" s="14" t="n">
        <v>328720</v>
      </c>
      <c r="L49" s="14" t="n">
        <v>1</v>
      </c>
      <c r="M49" s="15" t="inlineStr">
        <is>
          <t>Lapsed</t>
        </is>
      </c>
    </row>
    <row r="50">
      <c r="A50" s="7" t="inlineStr">
        <is>
          <t>ADM-MSC-MUL-2024-2045</t>
        </is>
      </c>
      <c r="B50" s="40" t="n">
        <v>45536</v>
      </c>
      <c r="C50" s="7" t="inlineStr">
        <is>
          <t>Multan</t>
        </is>
      </c>
      <c r="D50" s="7" t="inlineStr">
        <is>
          <t>Central</t>
        </is>
      </c>
      <c r="E50" s="7" t="inlineStr">
        <is>
          <t>Miscellaneous</t>
        </is>
      </c>
      <c r="F50" s="7" t="inlineStr">
        <is>
          <t>Direct</t>
        </is>
      </c>
      <c r="G50" s="7" t="inlineStr">
        <is>
          <t>Sobia Naz</t>
        </is>
      </c>
      <c r="H50" s="7" t="inlineStr">
        <is>
          <t>Corporate</t>
        </is>
      </c>
      <c r="I50" s="11" t="n">
        <v>6800000</v>
      </c>
      <c r="J50" s="11" t="n">
        <v>98700</v>
      </c>
      <c r="K50" s="11" t="n">
        <v>82186</v>
      </c>
      <c r="L50" s="11" t="n">
        <v>1</v>
      </c>
      <c r="M50" s="7" t="inlineStr">
        <is>
          <t>Cancelled</t>
        </is>
      </c>
    </row>
    <row r="51">
      <c r="A51" s="15" t="inlineStr">
        <is>
          <t>ADM-MAR-PEW-2024-2046</t>
        </is>
      </c>
      <c r="B51" s="41" t="n">
        <v>45573</v>
      </c>
      <c r="C51" s="15" t="inlineStr">
        <is>
          <t>Peshawar</t>
        </is>
      </c>
      <c r="D51" s="15" t="inlineStr">
        <is>
          <t>North</t>
        </is>
      </c>
      <c r="E51" s="15" t="inlineStr">
        <is>
          <t>Marine Cargo</t>
        </is>
      </c>
      <c r="F51" s="15" t="inlineStr">
        <is>
          <t>Agency</t>
        </is>
      </c>
      <c r="G51" s="15" t="inlineStr">
        <is>
          <t>Junaid Akram</t>
        </is>
      </c>
      <c r="H51" s="15" t="inlineStr">
        <is>
          <t>Individual</t>
        </is>
      </c>
      <c r="I51" s="14" t="n">
        <v>6800000</v>
      </c>
      <c r="J51" s="14" t="n">
        <v>86800</v>
      </c>
      <c r="K51" s="14" t="n">
        <v>159241</v>
      </c>
      <c r="L51" s="14" t="n">
        <v>1</v>
      </c>
      <c r="M51" s="15" t="inlineStr">
        <is>
          <t>Active</t>
        </is>
      </c>
    </row>
    <row r="52">
      <c r="A52" s="7" t="inlineStr">
        <is>
          <t>ADM-ENG-QTA-2024-2047</t>
        </is>
      </c>
      <c r="B52" s="40" t="n">
        <v>45611</v>
      </c>
      <c r="C52" s="7" t="inlineStr">
        <is>
          <t>Quetta</t>
        </is>
      </c>
      <c r="D52" s="7" t="inlineStr">
        <is>
          <t>South</t>
        </is>
      </c>
      <c r="E52" s="7" t="inlineStr">
        <is>
          <t>Engineering</t>
        </is>
      </c>
      <c r="F52" s="7" t="inlineStr">
        <is>
          <t>Bancassurance</t>
        </is>
      </c>
      <c r="G52" s="7" t="inlineStr">
        <is>
          <t>Hamid Raza</t>
        </is>
      </c>
      <c r="H52" s="7" t="inlineStr">
        <is>
          <t>Corporate</t>
        </is>
      </c>
      <c r="I52" s="11" t="n">
        <v>11500000</v>
      </c>
      <c r="J52" s="11" t="n">
        <v>241200</v>
      </c>
      <c r="K52" s="11" t="n">
        <v>123144</v>
      </c>
      <c r="L52" s="11" t="n">
        <v>1</v>
      </c>
      <c r="M52" s="7" t="inlineStr">
        <is>
          <t>Active</t>
        </is>
      </c>
    </row>
    <row r="53">
      <c r="A53" s="15" t="inlineStr">
        <is>
          <t>ADM-FIR-HYD-2024-2048</t>
        </is>
      </c>
      <c r="B53" s="41" t="n">
        <v>45648</v>
      </c>
      <c r="C53" s="15" t="inlineStr">
        <is>
          <t>Hyderabad</t>
        </is>
      </c>
      <c r="D53" s="15" t="inlineStr">
        <is>
          <t>South</t>
        </is>
      </c>
      <c r="E53" s="15" t="inlineStr">
        <is>
          <t>Fire &amp; Property</t>
        </is>
      </c>
      <c r="F53" s="15" t="inlineStr">
        <is>
          <t>Corporate</t>
        </is>
      </c>
      <c r="G53" s="15" t="inlineStr">
        <is>
          <t>Nimra Saleem</t>
        </is>
      </c>
      <c r="H53" s="15" t="inlineStr">
        <is>
          <t>Corporate</t>
        </is>
      </c>
      <c r="I53" s="14" t="n">
        <v>72000000</v>
      </c>
      <c r="J53" s="14" t="n">
        <v>750700</v>
      </c>
      <c r="K53" s="14" t="n">
        <v>1310060</v>
      </c>
      <c r="L53" s="14" t="n">
        <v>1</v>
      </c>
      <c r="M53" s="15" t="inlineStr">
        <is>
          <t>Renewed</t>
        </is>
      </c>
    </row>
    <row r="54">
      <c r="A54" s="7" t="inlineStr">
        <is>
          <t>ADM-TRV-SKT-2024-2049</t>
        </is>
      </c>
      <c r="B54" s="40" t="n">
        <v>45292</v>
      </c>
      <c r="C54" s="7" t="inlineStr">
        <is>
          <t>Sialkot</t>
        </is>
      </c>
      <c r="D54" s="7" t="inlineStr">
        <is>
          <t>Central</t>
        </is>
      </c>
      <c r="E54" s="7" t="inlineStr">
        <is>
          <t>Travel</t>
        </is>
      </c>
      <c r="F54" s="7" t="inlineStr">
        <is>
          <t>Direct</t>
        </is>
      </c>
      <c r="G54" s="7" t="inlineStr">
        <is>
          <t>Tariq Jameel</t>
        </is>
      </c>
      <c r="H54" s="7" t="inlineStr">
        <is>
          <t>Individual</t>
        </is>
      </c>
      <c r="I54" s="11" t="n">
        <v>72000000</v>
      </c>
      <c r="J54" s="11" t="n">
        <v>1755700</v>
      </c>
      <c r="K54" s="11" t="n">
        <v>112983</v>
      </c>
      <c r="L54" s="11" t="n">
        <v>1</v>
      </c>
      <c r="M54" s="7" t="inlineStr">
        <is>
          <t>Lapsed</t>
        </is>
      </c>
    </row>
    <row r="55">
      <c r="A55" s="15" t="inlineStr">
        <is>
          <t>ADM-MTR-RWP-2024-2050</t>
        </is>
      </c>
      <c r="B55" s="41" t="n">
        <v>45330</v>
      </c>
      <c r="C55" s="15" t="inlineStr">
        <is>
          <t>Rawalpindi</t>
        </is>
      </c>
      <c r="D55" s="15" t="inlineStr">
        <is>
          <t>North</t>
        </is>
      </c>
      <c r="E55" s="15" t="inlineStr">
        <is>
          <t>Motor</t>
        </is>
      </c>
      <c r="F55" s="15" t="inlineStr">
        <is>
          <t>Agency</t>
        </is>
      </c>
      <c r="G55" s="15" t="inlineStr">
        <is>
          <t>Nadia Hassan</t>
        </is>
      </c>
      <c r="H55" s="15" t="inlineStr">
        <is>
          <t>Corporate</t>
        </is>
      </c>
      <c r="I55" s="14" t="n">
        <v>1200000</v>
      </c>
      <c r="J55" s="14" t="n">
        <v>9200</v>
      </c>
      <c r="K55" s="14" t="n">
        <v>10507</v>
      </c>
      <c r="L55" s="14" t="n">
        <v>1</v>
      </c>
      <c r="M55" s="15" t="inlineStr">
        <is>
          <t>Cancelled</t>
        </is>
      </c>
    </row>
    <row r="56">
      <c r="A56" s="7" t="inlineStr">
        <is>
          <t>ADM-HLT-KHI-2024-2051</t>
        </is>
      </c>
      <c r="B56" s="40" t="n">
        <v>45366</v>
      </c>
      <c r="C56" s="7" t="inlineStr">
        <is>
          <t>Karachi Main</t>
        </is>
      </c>
      <c r="D56" s="7" t="inlineStr">
        <is>
          <t>South</t>
        </is>
      </c>
      <c r="E56" s="7" t="inlineStr">
        <is>
          <t>Health</t>
        </is>
      </c>
      <c r="F56" s="7" t="inlineStr">
        <is>
          <t>Bancassurance</t>
        </is>
      </c>
      <c r="G56" s="7" t="inlineStr">
        <is>
          <t>Salman Shah</t>
        </is>
      </c>
      <c r="H56" s="7" t="inlineStr">
        <is>
          <t>Corporate</t>
        </is>
      </c>
      <c r="I56" s="11" t="n">
        <v>1200000</v>
      </c>
      <c r="J56" s="11" t="n">
        <v>27200</v>
      </c>
      <c r="K56" s="11" t="n">
        <v>43127</v>
      </c>
      <c r="L56" s="11" t="n">
        <v>1</v>
      </c>
      <c r="M56" s="7" t="inlineStr">
        <is>
          <t>Active</t>
        </is>
      </c>
    </row>
    <row r="57">
      <c r="A57" s="15" t="inlineStr">
        <is>
          <t>ADM-MSC-LHR-2024-2052</t>
        </is>
      </c>
      <c r="B57" s="41" t="n">
        <v>45404</v>
      </c>
      <c r="C57" s="15" t="inlineStr">
        <is>
          <t>Lahore Gulberg</t>
        </is>
      </c>
      <c r="D57" s="15" t="inlineStr">
        <is>
          <t>Central</t>
        </is>
      </c>
      <c r="E57" s="15" t="inlineStr">
        <is>
          <t>Miscellaneous</t>
        </is>
      </c>
      <c r="F57" s="15" t="inlineStr">
        <is>
          <t>Corporate</t>
        </is>
      </c>
      <c r="G57" s="15" t="inlineStr">
        <is>
          <t>Komal Bashir</t>
        </is>
      </c>
      <c r="H57" s="15" t="inlineStr">
        <is>
          <t>Individual</t>
        </is>
      </c>
      <c r="I57" s="14" t="n">
        <v>47000000</v>
      </c>
      <c r="J57" s="14" t="n">
        <v>529800</v>
      </c>
      <c r="K57" s="14" t="n">
        <v>256933</v>
      </c>
      <c r="L57" s="14" t="n">
        <v>1</v>
      </c>
      <c r="M57" s="15" t="inlineStr">
        <is>
          <t>Active</t>
        </is>
      </c>
    </row>
    <row r="58">
      <c r="A58" s="7" t="inlineStr">
        <is>
          <t>ADM-MAR-ISB-2024-2053</t>
        </is>
      </c>
      <c r="B58" s="40" t="n">
        <v>45413</v>
      </c>
      <c r="C58" s="7" t="inlineStr">
        <is>
          <t>Islamabad Blue Area</t>
        </is>
      </c>
      <c r="D58" s="7" t="inlineStr">
        <is>
          <t>North</t>
        </is>
      </c>
      <c r="E58" s="7" t="inlineStr">
        <is>
          <t>Marine Cargo</t>
        </is>
      </c>
      <c r="F58" s="7" t="inlineStr">
        <is>
          <t>Direct</t>
        </is>
      </c>
      <c r="G58" s="7" t="inlineStr">
        <is>
          <t>Waqar Younis Khan</t>
        </is>
      </c>
      <c r="H58" s="7" t="inlineStr">
        <is>
          <t>Corporate</t>
        </is>
      </c>
      <c r="I58" s="11" t="n">
        <v>72000000</v>
      </c>
      <c r="J58" s="11" t="n">
        <v>1845200</v>
      </c>
      <c r="K58" s="11" t="n">
        <v>901690</v>
      </c>
      <c r="L58" s="11" t="n">
        <v>1</v>
      </c>
      <c r="M58" s="7" t="inlineStr">
        <is>
          <t>Renewed</t>
        </is>
      </c>
    </row>
    <row r="59">
      <c r="A59" s="15" t="inlineStr">
        <is>
          <t>ADM-ENG-FSD-2024-2054</t>
        </is>
      </c>
      <c r="B59" s="41" t="n">
        <v>45451</v>
      </c>
      <c r="C59" s="15" t="inlineStr">
        <is>
          <t>Faisalabad</t>
        </is>
      </c>
      <c r="D59" s="15" t="inlineStr">
        <is>
          <t>Central</t>
        </is>
      </c>
      <c r="E59" s="15" t="inlineStr">
        <is>
          <t>Engineering</t>
        </is>
      </c>
      <c r="F59" s="15" t="inlineStr">
        <is>
          <t>Agency</t>
        </is>
      </c>
      <c r="G59" s="15" t="inlineStr">
        <is>
          <t>Amna Zubair</t>
        </is>
      </c>
      <c r="H59" s="15" t="inlineStr">
        <is>
          <t>Corporate</t>
        </is>
      </c>
      <c r="I59" s="14" t="n">
        <v>72000000</v>
      </c>
      <c r="J59" s="14" t="n">
        <v>439500</v>
      </c>
      <c r="K59" s="14" t="n">
        <v>142358</v>
      </c>
      <c r="L59" s="14" t="n">
        <v>1</v>
      </c>
      <c r="M59" s="15" t="inlineStr">
        <is>
          <t>Lapsed</t>
        </is>
      </c>
    </row>
    <row r="60">
      <c r="A60" s="7" t="inlineStr">
        <is>
          <t>ADM-FIR-MUL-2024-2055</t>
        </is>
      </c>
      <c r="B60" s="40" t="n">
        <v>45488</v>
      </c>
      <c r="C60" s="7" t="inlineStr">
        <is>
          <t>Multan</t>
        </is>
      </c>
      <c r="D60" s="7" t="inlineStr">
        <is>
          <t>Central</t>
        </is>
      </c>
      <c r="E60" s="7" t="inlineStr">
        <is>
          <t>Fire &amp; Property</t>
        </is>
      </c>
      <c r="F60" s="7" t="inlineStr">
        <is>
          <t>Bancassurance</t>
        </is>
      </c>
      <c r="G60" s="7" t="inlineStr">
        <is>
          <t>Rizwan Ali Soomro</t>
        </is>
      </c>
      <c r="H60" s="7" t="inlineStr">
        <is>
          <t>Individual</t>
        </is>
      </c>
      <c r="I60" s="11" t="n">
        <v>72000000</v>
      </c>
      <c r="J60" s="11" t="n">
        <v>1904500</v>
      </c>
      <c r="K60" s="11" t="n">
        <v>2127168</v>
      </c>
      <c r="L60" s="11" t="n">
        <v>1</v>
      </c>
      <c r="M60" s="7" t="inlineStr">
        <is>
          <t>Cancelled</t>
        </is>
      </c>
    </row>
    <row r="61">
      <c r="A61" s="15" t="inlineStr">
        <is>
          <t>ADM-TRV-PEW-2024-2056</t>
        </is>
      </c>
      <c r="B61" s="41" t="n">
        <v>45526</v>
      </c>
      <c r="C61" s="15" t="inlineStr">
        <is>
          <t>Peshawar</t>
        </is>
      </c>
      <c r="D61" s="15" t="inlineStr">
        <is>
          <t>North</t>
        </is>
      </c>
      <c r="E61" s="15" t="inlineStr">
        <is>
          <t>Travel</t>
        </is>
      </c>
      <c r="F61" s="15" t="inlineStr">
        <is>
          <t>Corporate</t>
        </is>
      </c>
      <c r="G61" s="15" t="inlineStr">
        <is>
          <t>Farhan Dar</t>
        </is>
      </c>
      <c r="H61" s="15" t="inlineStr">
        <is>
          <t>Corporate</t>
        </is>
      </c>
      <c r="I61" s="14" t="n">
        <v>72000000</v>
      </c>
      <c r="J61" s="14" t="n">
        <v>2216000</v>
      </c>
      <c r="K61" s="14" t="n">
        <v>844750</v>
      </c>
      <c r="L61" s="14" t="n">
        <v>1</v>
      </c>
      <c r="M61" s="15" t="inlineStr">
        <is>
          <t>Active</t>
        </is>
      </c>
    </row>
    <row r="62">
      <c r="A62" s="7" t="inlineStr">
        <is>
          <t>ADM-MTR-QTA-2024-2057</t>
        </is>
      </c>
      <c r="B62" s="40" t="n">
        <v>45536</v>
      </c>
      <c r="C62" s="7" t="inlineStr">
        <is>
          <t>Quetta</t>
        </is>
      </c>
      <c r="D62" s="7" t="inlineStr">
        <is>
          <t>South</t>
        </is>
      </c>
      <c r="E62" s="7" t="inlineStr">
        <is>
          <t>Motor</t>
        </is>
      </c>
      <c r="F62" s="7" t="inlineStr">
        <is>
          <t>Direct</t>
        </is>
      </c>
      <c r="G62" s="7" t="inlineStr">
        <is>
          <t>Sobia Naz</t>
        </is>
      </c>
      <c r="H62" s="7" t="inlineStr">
        <is>
          <t>Corporate</t>
        </is>
      </c>
      <c r="I62" s="11" t="n">
        <v>6800000</v>
      </c>
      <c r="J62" s="11" t="n">
        <v>205000</v>
      </c>
      <c r="K62" s="11" t="n">
        <v>340836</v>
      </c>
      <c r="L62" s="11" t="n">
        <v>1</v>
      </c>
      <c r="M62" s="7" t="inlineStr">
        <is>
          <t>Active</t>
        </is>
      </c>
    </row>
    <row r="63">
      <c r="A63" s="15" t="inlineStr">
        <is>
          <t>ADM-HLT-HYD-2024-2058</t>
        </is>
      </c>
      <c r="B63" s="41" t="n">
        <v>45573</v>
      </c>
      <c r="C63" s="15" t="inlineStr">
        <is>
          <t>Hyderabad</t>
        </is>
      </c>
      <c r="D63" s="15" t="inlineStr">
        <is>
          <t>South</t>
        </is>
      </c>
      <c r="E63" s="15" t="inlineStr">
        <is>
          <t>Health</t>
        </is>
      </c>
      <c r="F63" s="15" t="inlineStr">
        <is>
          <t>Agency</t>
        </is>
      </c>
      <c r="G63" s="15" t="inlineStr">
        <is>
          <t>Junaid Akram</t>
        </is>
      </c>
      <c r="H63" s="15" t="inlineStr">
        <is>
          <t>Individual</t>
        </is>
      </c>
      <c r="I63" s="14" t="n">
        <v>47000000</v>
      </c>
      <c r="J63" s="14" t="n">
        <v>625000</v>
      </c>
      <c r="K63" s="14" t="n">
        <v>389202</v>
      </c>
      <c r="L63" s="14" t="n">
        <v>1</v>
      </c>
      <c r="M63" s="15" t="inlineStr">
        <is>
          <t>Renewed</t>
        </is>
      </c>
    </row>
    <row r="64">
      <c r="A64" s="7" t="inlineStr">
        <is>
          <t>ADM-MSC-SKT-2024-2059</t>
        </is>
      </c>
      <c r="B64" s="40" t="n">
        <v>45611</v>
      </c>
      <c r="C64" s="7" t="inlineStr">
        <is>
          <t>Sialkot</t>
        </is>
      </c>
      <c r="D64" s="7" t="inlineStr">
        <is>
          <t>Central</t>
        </is>
      </c>
      <c r="E64" s="7" t="inlineStr">
        <is>
          <t>Miscellaneous</t>
        </is>
      </c>
      <c r="F64" s="7" t="inlineStr">
        <is>
          <t>Bancassurance</t>
        </is>
      </c>
      <c r="G64" s="7" t="inlineStr">
        <is>
          <t>Hamid Raza</t>
        </is>
      </c>
      <c r="H64" s="7" t="inlineStr">
        <is>
          <t>Corporate</t>
        </is>
      </c>
      <c r="I64" s="11" t="n">
        <v>28000000</v>
      </c>
      <c r="J64" s="11" t="n">
        <v>848100</v>
      </c>
      <c r="K64" s="11" t="n">
        <v>1353456</v>
      </c>
      <c r="L64" s="11" t="n">
        <v>1</v>
      </c>
      <c r="M64" s="7" t="inlineStr">
        <is>
          <t>Lapsed</t>
        </is>
      </c>
    </row>
    <row r="65">
      <c r="A65" s="15" t="inlineStr">
        <is>
          <t>ADM-MAR-RWP-2024-2060</t>
        </is>
      </c>
      <c r="B65" s="41" t="n">
        <v>45648</v>
      </c>
      <c r="C65" s="15" t="inlineStr">
        <is>
          <t>Rawalpindi</t>
        </is>
      </c>
      <c r="D65" s="15" t="inlineStr">
        <is>
          <t>North</t>
        </is>
      </c>
      <c r="E65" s="15" t="inlineStr">
        <is>
          <t>Marine Cargo</t>
        </is>
      </c>
      <c r="F65" s="15" t="inlineStr">
        <is>
          <t>Corporate</t>
        </is>
      </c>
      <c r="G65" s="15" t="inlineStr">
        <is>
          <t>Nimra Saleem</t>
        </is>
      </c>
      <c r="H65" s="15" t="inlineStr">
        <is>
          <t>Corporate</t>
        </is>
      </c>
      <c r="I65" s="14" t="n">
        <v>19000000</v>
      </c>
      <c r="J65" s="14" t="n">
        <v>293100</v>
      </c>
      <c r="K65" s="14" t="n">
        <v>355754</v>
      </c>
      <c r="L65" s="14" t="n">
        <v>1</v>
      </c>
      <c r="M65" s="15" t="inlineStr">
        <is>
          <t>Cancelled</t>
        </is>
      </c>
    </row>
    <row r="66">
      <c r="A66" s="7" t="inlineStr">
        <is>
          <t>ADM-ENG-KHI-2024-2061</t>
        </is>
      </c>
      <c r="B66" s="40" t="n">
        <v>45292</v>
      </c>
      <c r="C66" s="7" t="inlineStr">
        <is>
          <t>Karachi Main</t>
        </is>
      </c>
      <c r="D66" s="7" t="inlineStr">
        <is>
          <t>South</t>
        </is>
      </c>
      <c r="E66" s="7" t="inlineStr">
        <is>
          <t>Engineering</t>
        </is>
      </c>
      <c r="F66" s="7" t="inlineStr">
        <is>
          <t>Direct</t>
        </is>
      </c>
      <c r="G66" s="7" t="inlineStr">
        <is>
          <t>Tariq Jameel</t>
        </is>
      </c>
      <c r="H66" s="7" t="inlineStr">
        <is>
          <t>Individual</t>
        </is>
      </c>
      <c r="I66" s="11" t="n">
        <v>3400000</v>
      </c>
      <c r="J66" s="11" t="n">
        <v>99500</v>
      </c>
      <c r="K66" s="11" t="n">
        <v>58895</v>
      </c>
      <c r="L66" s="11" t="n">
        <v>1</v>
      </c>
      <c r="M66" s="7" t="inlineStr">
        <is>
          <t>Active</t>
        </is>
      </c>
    </row>
    <row r="67">
      <c r="A67" s="15" t="inlineStr">
        <is>
          <t>ADM-FIR-LHR-2024-2062</t>
        </is>
      </c>
      <c r="B67" s="41" t="n">
        <v>45330</v>
      </c>
      <c r="C67" s="15" t="inlineStr">
        <is>
          <t>Lahore Gulberg</t>
        </is>
      </c>
      <c r="D67" s="15" t="inlineStr">
        <is>
          <t>Central</t>
        </is>
      </c>
      <c r="E67" s="15" t="inlineStr">
        <is>
          <t>Fire &amp; Property</t>
        </is>
      </c>
      <c r="F67" s="15" t="inlineStr">
        <is>
          <t>Agency</t>
        </is>
      </c>
      <c r="G67" s="15" t="inlineStr">
        <is>
          <t>Nadia Hassan</t>
        </is>
      </c>
      <c r="H67" s="15" t="inlineStr">
        <is>
          <t>Corporate</t>
        </is>
      </c>
      <c r="I67" s="14" t="n">
        <v>72000000</v>
      </c>
      <c r="J67" s="14" t="n">
        <v>482300</v>
      </c>
      <c r="K67" s="14" t="n">
        <v>734148</v>
      </c>
      <c r="L67" s="14" t="n">
        <v>1</v>
      </c>
      <c r="M67" s="15" t="inlineStr">
        <is>
          <t>Active</t>
        </is>
      </c>
    </row>
    <row r="68">
      <c r="A68" s="7" t="inlineStr">
        <is>
          <t>ADM-TRV-ISB-2024-2063</t>
        </is>
      </c>
      <c r="B68" s="40" t="n">
        <v>45366</v>
      </c>
      <c r="C68" s="7" t="inlineStr">
        <is>
          <t>Islamabad Blue Area</t>
        </is>
      </c>
      <c r="D68" s="7" t="inlineStr">
        <is>
          <t>North</t>
        </is>
      </c>
      <c r="E68" s="7" t="inlineStr">
        <is>
          <t>Travel</t>
        </is>
      </c>
      <c r="F68" s="7" t="inlineStr">
        <is>
          <t>Bancassurance</t>
        </is>
      </c>
      <c r="G68" s="7" t="inlineStr">
        <is>
          <t>Salman Shah</t>
        </is>
      </c>
      <c r="H68" s="7" t="inlineStr">
        <is>
          <t>Corporate</t>
        </is>
      </c>
      <c r="I68" s="11" t="n">
        <v>47000000</v>
      </c>
      <c r="J68" s="11" t="n">
        <v>829800</v>
      </c>
      <c r="K68" s="11" t="n">
        <v>459043</v>
      </c>
      <c r="L68" s="11" t="n">
        <v>1</v>
      </c>
      <c r="M68" s="7" t="inlineStr">
        <is>
          <t>Renewed</t>
        </is>
      </c>
    </row>
    <row r="69">
      <c r="A69" s="15" t="inlineStr">
        <is>
          <t>ADM-MTR-FSD-2024-2064</t>
        </is>
      </c>
      <c r="B69" s="41" t="n">
        <v>45404</v>
      </c>
      <c r="C69" s="15" t="inlineStr">
        <is>
          <t>Faisalabad</t>
        </is>
      </c>
      <c r="D69" s="15" t="inlineStr">
        <is>
          <t>Central</t>
        </is>
      </c>
      <c r="E69" s="15" t="inlineStr">
        <is>
          <t>Motor</t>
        </is>
      </c>
      <c r="F69" s="15" t="inlineStr">
        <is>
          <t>Corporate</t>
        </is>
      </c>
      <c r="G69" s="15" t="inlineStr">
        <is>
          <t>Komal Bashir</t>
        </is>
      </c>
      <c r="H69" s="15" t="inlineStr">
        <is>
          <t>Individual</t>
        </is>
      </c>
      <c r="I69" s="14" t="n">
        <v>72000000</v>
      </c>
      <c r="J69" s="14" t="n">
        <v>1006900</v>
      </c>
      <c r="K69" s="14" t="n">
        <v>107807</v>
      </c>
      <c r="L69" s="14" t="n">
        <v>1</v>
      </c>
      <c r="M69" s="15" t="inlineStr">
        <is>
          <t>Lapsed</t>
        </is>
      </c>
    </row>
    <row r="70">
      <c r="A70" s="7" t="inlineStr">
        <is>
          <t>ADM-HLT-MUL-2024-2065</t>
        </is>
      </c>
      <c r="B70" s="40" t="n">
        <v>45413</v>
      </c>
      <c r="C70" s="7" t="inlineStr">
        <is>
          <t>Multan</t>
        </is>
      </c>
      <c r="D70" s="7" t="inlineStr">
        <is>
          <t>Central</t>
        </is>
      </c>
      <c r="E70" s="7" t="inlineStr">
        <is>
          <t>Health</t>
        </is>
      </c>
      <c r="F70" s="7" t="inlineStr">
        <is>
          <t>Direct</t>
        </is>
      </c>
      <c r="G70" s="7" t="inlineStr">
        <is>
          <t>Waqar Younis Khan</t>
        </is>
      </c>
      <c r="H70" s="7" t="inlineStr">
        <is>
          <t>Corporate</t>
        </is>
      </c>
      <c r="I70" s="11" t="n">
        <v>1200000</v>
      </c>
      <c r="J70" s="11" t="n">
        <v>36500</v>
      </c>
      <c r="K70" s="11" t="n">
        <v>53071</v>
      </c>
      <c r="L70" s="11" t="n">
        <v>1</v>
      </c>
      <c r="M70" s="7" t="inlineStr">
        <is>
          <t>Cancelled</t>
        </is>
      </c>
    </row>
    <row r="71">
      <c r="A71" s="15" t="inlineStr">
        <is>
          <t>ADM-MSC-PEW-2024-2066</t>
        </is>
      </c>
      <c r="B71" s="41" t="n">
        <v>45451</v>
      </c>
      <c r="C71" s="15" t="inlineStr">
        <is>
          <t>Peshawar</t>
        </is>
      </c>
      <c r="D71" s="15" t="inlineStr">
        <is>
          <t>North</t>
        </is>
      </c>
      <c r="E71" s="15" t="inlineStr">
        <is>
          <t>Miscellaneous</t>
        </is>
      </c>
      <c r="F71" s="15" t="inlineStr">
        <is>
          <t>Agency</t>
        </is>
      </c>
      <c r="G71" s="15" t="inlineStr">
        <is>
          <t>Amna Zubair</t>
        </is>
      </c>
      <c r="H71" s="15" t="inlineStr">
        <is>
          <t>Corporate</t>
        </is>
      </c>
      <c r="I71" s="14" t="n">
        <v>28000000</v>
      </c>
      <c r="J71" s="14" t="n">
        <v>489500</v>
      </c>
      <c r="K71" s="14" t="n">
        <v>196838</v>
      </c>
      <c r="L71" s="14" t="n">
        <v>1</v>
      </c>
      <c r="M71" s="15" t="inlineStr">
        <is>
          <t>Active</t>
        </is>
      </c>
    </row>
    <row r="72">
      <c r="A72" s="7" t="inlineStr">
        <is>
          <t>ADM-MAR-QTA-2024-2067</t>
        </is>
      </c>
      <c r="B72" s="40" t="n">
        <v>45488</v>
      </c>
      <c r="C72" s="7" t="inlineStr">
        <is>
          <t>Quetta</t>
        </is>
      </c>
      <c r="D72" s="7" t="inlineStr">
        <is>
          <t>South</t>
        </is>
      </c>
      <c r="E72" s="7" t="inlineStr">
        <is>
          <t>Marine Cargo</t>
        </is>
      </c>
      <c r="F72" s="7" t="inlineStr">
        <is>
          <t>Bancassurance</t>
        </is>
      </c>
      <c r="G72" s="7" t="inlineStr">
        <is>
          <t>Rizwan Ali Soomro</t>
        </is>
      </c>
      <c r="H72" s="7" t="inlineStr">
        <is>
          <t>Individual</t>
        </is>
      </c>
      <c r="I72" s="11" t="n">
        <v>3400000</v>
      </c>
      <c r="J72" s="11" t="n">
        <v>24200</v>
      </c>
      <c r="K72" s="11" t="n">
        <v>1580</v>
      </c>
      <c r="L72" s="11" t="n">
        <v>1</v>
      </c>
      <c r="M72" s="7" t="inlineStr">
        <is>
          <t>Active</t>
        </is>
      </c>
    </row>
    <row r="73">
      <c r="A73" s="15" t="inlineStr">
        <is>
          <t>ADM-ENG-HYD-2024-2068</t>
        </is>
      </c>
      <c r="B73" s="41" t="n">
        <v>45526</v>
      </c>
      <c r="C73" s="15" t="inlineStr">
        <is>
          <t>Hyderabad</t>
        </is>
      </c>
      <c r="D73" s="15" t="inlineStr">
        <is>
          <t>South</t>
        </is>
      </c>
      <c r="E73" s="15" t="inlineStr">
        <is>
          <t>Engineering</t>
        </is>
      </c>
      <c r="F73" s="15" t="inlineStr">
        <is>
          <t>Corporate</t>
        </is>
      </c>
      <c r="G73" s="15" t="inlineStr">
        <is>
          <t>Farhan Dar</t>
        </is>
      </c>
      <c r="H73" s="15" t="inlineStr">
        <is>
          <t>Corporate</t>
        </is>
      </c>
      <c r="I73" s="14" t="n">
        <v>28000000</v>
      </c>
      <c r="J73" s="14" t="n">
        <v>517500</v>
      </c>
      <c r="K73" s="14" t="n">
        <v>652081</v>
      </c>
      <c r="L73" s="14" t="n">
        <v>1</v>
      </c>
      <c r="M73" s="15" t="inlineStr">
        <is>
          <t>Renewed</t>
        </is>
      </c>
    </row>
    <row r="74">
      <c r="A74" s="7" t="inlineStr">
        <is>
          <t>ADM-FIR-SKT-2024-2069</t>
        </is>
      </c>
      <c r="B74" s="40" t="n">
        <v>45536</v>
      </c>
      <c r="C74" s="7" t="inlineStr">
        <is>
          <t>Sialkot</t>
        </is>
      </c>
      <c r="D74" s="7" t="inlineStr">
        <is>
          <t>Central</t>
        </is>
      </c>
      <c r="E74" s="7" t="inlineStr">
        <is>
          <t>Fire &amp; Property</t>
        </is>
      </c>
      <c r="F74" s="7" t="inlineStr">
        <is>
          <t>Direct</t>
        </is>
      </c>
      <c r="G74" s="7" t="inlineStr">
        <is>
          <t>Sobia Naz</t>
        </is>
      </c>
      <c r="H74" s="7" t="inlineStr">
        <is>
          <t>Corporate</t>
        </is>
      </c>
      <c r="I74" s="11" t="n">
        <v>11500000</v>
      </c>
      <c r="J74" s="11" t="n">
        <v>88300</v>
      </c>
      <c r="K74" s="11" t="n">
        <v>136682</v>
      </c>
      <c r="L74" s="11" t="n">
        <v>1</v>
      </c>
      <c r="M74" s="7" t="inlineStr">
        <is>
          <t>Lapsed</t>
        </is>
      </c>
    </row>
    <row r="75">
      <c r="A75" s="15" t="inlineStr">
        <is>
          <t>ADM-TRV-RWP-2024-2070</t>
        </is>
      </c>
      <c r="B75" s="41" t="n">
        <v>45573</v>
      </c>
      <c r="C75" s="15" t="inlineStr">
        <is>
          <t>Rawalpindi</t>
        </is>
      </c>
      <c r="D75" s="15" t="inlineStr">
        <is>
          <t>North</t>
        </is>
      </c>
      <c r="E75" s="15" t="inlineStr">
        <is>
          <t>Travel</t>
        </is>
      </c>
      <c r="F75" s="15" t="inlineStr">
        <is>
          <t>Agency</t>
        </is>
      </c>
      <c r="G75" s="15" t="inlineStr">
        <is>
          <t>Junaid Akram</t>
        </is>
      </c>
      <c r="H75" s="15" t="inlineStr">
        <is>
          <t>Individual</t>
        </is>
      </c>
      <c r="I75" s="14" t="n">
        <v>3400000</v>
      </c>
      <c r="J75" s="14" t="n">
        <v>81700</v>
      </c>
      <c r="K75" s="14" t="n">
        <v>16624</v>
      </c>
      <c r="L75" s="14" t="n">
        <v>1</v>
      </c>
      <c r="M75" s="15" t="inlineStr">
        <is>
          <t>Cancelled</t>
        </is>
      </c>
    </row>
    <row r="76">
      <c r="A76" s="7" t="inlineStr">
        <is>
          <t>ADM-MTR-KHI-2024-2071</t>
        </is>
      </c>
      <c r="B76" s="40" t="n">
        <v>45611</v>
      </c>
      <c r="C76" s="7" t="inlineStr">
        <is>
          <t>Karachi Main</t>
        </is>
      </c>
      <c r="D76" s="7" t="inlineStr">
        <is>
          <t>South</t>
        </is>
      </c>
      <c r="E76" s="7" t="inlineStr">
        <is>
          <t>Motor</t>
        </is>
      </c>
      <c r="F76" s="7" t="inlineStr">
        <is>
          <t>Bancassurance</t>
        </is>
      </c>
      <c r="G76" s="7" t="inlineStr">
        <is>
          <t>Hamid Raza</t>
        </is>
      </c>
      <c r="H76" s="7" t="inlineStr">
        <is>
          <t>Corporate</t>
        </is>
      </c>
      <c r="I76" s="11" t="n">
        <v>28000000</v>
      </c>
      <c r="J76" s="11" t="n">
        <v>161500</v>
      </c>
      <c r="K76" s="11" t="n">
        <v>16054</v>
      </c>
      <c r="L76" s="11" t="n">
        <v>1</v>
      </c>
      <c r="M76" s="7" t="inlineStr">
        <is>
          <t>Active</t>
        </is>
      </c>
    </row>
    <row r="77">
      <c r="A77" s="15" t="inlineStr">
        <is>
          <t>ADM-HLT-LHR-2024-2072</t>
        </is>
      </c>
      <c r="B77" s="41" t="n">
        <v>45648</v>
      </c>
      <c r="C77" s="15" t="inlineStr">
        <is>
          <t>Lahore Gulberg</t>
        </is>
      </c>
      <c r="D77" s="15" t="inlineStr">
        <is>
          <t>Central</t>
        </is>
      </c>
      <c r="E77" s="15" t="inlineStr">
        <is>
          <t>Health</t>
        </is>
      </c>
      <c r="F77" s="15" t="inlineStr">
        <is>
          <t>Corporate</t>
        </is>
      </c>
      <c r="G77" s="15" t="inlineStr">
        <is>
          <t>Nimra Saleem</t>
        </is>
      </c>
      <c r="H77" s="15" t="inlineStr">
        <is>
          <t>Corporate</t>
        </is>
      </c>
      <c r="I77" s="14" t="n">
        <v>19000000</v>
      </c>
      <c r="J77" s="14" t="n">
        <v>564300</v>
      </c>
      <c r="K77" s="14" t="n">
        <v>295386</v>
      </c>
      <c r="L77" s="14" t="n">
        <v>1</v>
      </c>
      <c r="M77" s="15" t="inlineStr">
        <is>
          <t>Active</t>
        </is>
      </c>
    </row>
    <row r="78">
      <c r="A78" s="7" t="inlineStr">
        <is>
          <t>ADM-MSC-ISB-2024-2073</t>
        </is>
      </c>
      <c r="B78" s="40" t="n">
        <v>45292</v>
      </c>
      <c r="C78" s="7" t="inlineStr">
        <is>
          <t>Islamabad Blue Area</t>
        </is>
      </c>
      <c r="D78" s="7" t="inlineStr">
        <is>
          <t>North</t>
        </is>
      </c>
      <c r="E78" s="7" t="inlineStr">
        <is>
          <t>Miscellaneous</t>
        </is>
      </c>
      <c r="F78" s="7" t="inlineStr">
        <is>
          <t>Direct</t>
        </is>
      </c>
      <c r="G78" s="7" t="inlineStr">
        <is>
          <t>Tariq Jameel</t>
        </is>
      </c>
      <c r="H78" s="7" t="inlineStr">
        <is>
          <t>Individual</t>
        </is>
      </c>
      <c r="I78" s="11" t="n">
        <v>47000000</v>
      </c>
      <c r="J78" s="11" t="n">
        <v>817800</v>
      </c>
      <c r="K78" s="11" t="n">
        <v>1386052</v>
      </c>
      <c r="L78" s="11" t="n">
        <v>1</v>
      </c>
      <c r="M78" s="7" t="inlineStr">
        <is>
          <t>Renewed</t>
        </is>
      </c>
    </row>
    <row r="79">
      <c r="A79" s="15" t="inlineStr">
        <is>
          <t>ADM-MAR-FSD-2024-2074</t>
        </is>
      </c>
      <c r="B79" s="41" t="n">
        <v>45330</v>
      </c>
      <c r="C79" s="15" t="inlineStr">
        <is>
          <t>Faisalabad</t>
        </is>
      </c>
      <c r="D79" s="15" t="inlineStr">
        <is>
          <t>Central</t>
        </is>
      </c>
      <c r="E79" s="15" t="inlineStr">
        <is>
          <t>Marine Cargo</t>
        </is>
      </c>
      <c r="F79" s="15" t="inlineStr">
        <is>
          <t>Agency</t>
        </is>
      </c>
      <c r="G79" s="15" t="inlineStr">
        <is>
          <t>Nadia Hassan</t>
        </is>
      </c>
      <c r="H79" s="15" t="inlineStr">
        <is>
          <t>Corporate</t>
        </is>
      </c>
      <c r="I79" s="14" t="n">
        <v>47000000</v>
      </c>
      <c r="J79" s="14" t="n">
        <v>809700</v>
      </c>
      <c r="K79" s="14" t="n">
        <v>1107509</v>
      </c>
      <c r="L79" s="14" t="n">
        <v>1</v>
      </c>
      <c r="M79" s="15" t="inlineStr">
        <is>
          <t>Lapsed</t>
        </is>
      </c>
    </row>
    <row r="80">
      <c r="A80" s="7" t="inlineStr">
        <is>
          <t>ADM-ENG-MUL-2024-2075</t>
        </is>
      </c>
      <c r="B80" s="40" t="n">
        <v>45366</v>
      </c>
      <c r="C80" s="7" t="inlineStr">
        <is>
          <t>Multan</t>
        </is>
      </c>
      <c r="D80" s="7" t="inlineStr">
        <is>
          <t>Central</t>
        </is>
      </c>
      <c r="E80" s="7" t="inlineStr">
        <is>
          <t>Engineering</t>
        </is>
      </c>
      <c r="F80" s="7" t="inlineStr">
        <is>
          <t>Bancassurance</t>
        </is>
      </c>
      <c r="G80" s="7" t="inlineStr">
        <is>
          <t>Salman Shah</t>
        </is>
      </c>
      <c r="H80" s="7" t="inlineStr">
        <is>
          <t>Corporate</t>
        </is>
      </c>
      <c r="I80" s="11" t="n">
        <v>28000000</v>
      </c>
      <c r="J80" s="11" t="n">
        <v>314100</v>
      </c>
      <c r="K80" s="11" t="n">
        <v>530669</v>
      </c>
      <c r="L80" s="11" t="n">
        <v>1</v>
      </c>
      <c r="M80" s="7" t="inlineStr">
        <is>
          <t>Cancelled</t>
        </is>
      </c>
    </row>
    <row r="81">
      <c r="A81" s="15" t="inlineStr">
        <is>
          <t>ADM-FIR-PEW-2024-2076</t>
        </is>
      </c>
      <c r="B81" s="41" t="n">
        <v>45404</v>
      </c>
      <c r="C81" s="15" t="inlineStr">
        <is>
          <t>Peshawar</t>
        </is>
      </c>
      <c r="D81" s="15" t="inlineStr">
        <is>
          <t>North</t>
        </is>
      </c>
      <c r="E81" s="15" t="inlineStr">
        <is>
          <t>Fire &amp; Property</t>
        </is>
      </c>
      <c r="F81" s="15" t="inlineStr">
        <is>
          <t>Corporate</t>
        </is>
      </c>
      <c r="G81" s="15" t="inlineStr">
        <is>
          <t>Komal Bashir</t>
        </is>
      </c>
      <c r="H81" s="15" t="inlineStr">
        <is>
          <t>Individual</t>
        </is>
      </c>
      <c r="I81" s="14" t="n">
        <v>3400000</v>
      </c>
      <c r="J81" s="14" t="n">
        <v>56300</v>
      </c>
      <c r="K81" s="14" t="n">
        <v>84054</v>
      </c>
      <c r="L81" s="14" t="n">
        <v>1</v>
      </c>
      <c r="M81" s="15" t="inlineStr">
        <is>
          <t>Active</t>
        </is>
      </c>
    </row>
    <row r="82">
      <c r="A82" s="7" t="inlineStr">
        <is>
          <t>ADM-TRV-QTA-2024-2077</t>
        </is>
      </c>
      <c r="B82" s="40" t="n">
        <v>45413</v>
      </c>
      <c r="C82" s="7" t="inlineStr">
        <is>
          <t>Quetta</t>
        </is>
      </c>
      <c r="D82" s="7" t="inlineStr">
        <is>
          <t>South</t>
        </is>
      </c>
      <c r="E82" s="7" t="inlineStr">
        <is>
          <t>Travel</t>
        </is>
      </c>
      <c r="F82" s="7" t="inlineStr">
        <is>
          <t>Direct</t>
        </is>
      </c>
      <c r="G82" s="7" t="inlineStr">
        <is>
          <t>Waqar Younis Khan</t>
        </is>
      </c>
      <c r="H82" s="7" t="inlineStr">
        <is>
          <t>Corporate</t>
        </is>
      </c>
      <c r="I82" s="11" t="n">
        <v>1200000</v>
      </c>
      <c r="J82" s="11" t="n">
        <v>20700</v>
      </c>
      <c r="K82" s="11" t="n">
        <v>4341</v>
      </c>
      <c r="L82" s="11" t="n">
        <v>1</v>
      </c>
      <c r="M82" s="7" t="inlineStr">
        <is>
          <t>Active</t>
        </is>
      </c>
    </row>
    <row r="83">
      <c r="A83" s="15" t="inlineStr">
        <is>
          <t>ADM-MTR-HYD-2024-2078</t>
        </is>
      </c>
      <c r="B83" s="41" t="n">
        <v>45451</v>
      </c>
      <c r="C83" s="15" t="inlineStr">
        <is>
          <t>Hyderabad</t>
        </is>
      </c>
      <c r="D83" s="15" t="inlineStr">
        <is>
          <t>South</t>
        </is>
      </c>
      <c r="E83" s="15" t="inlineStr">
        <is>
          <t>Motor</t>
        </is>
      </c>
      <c r="F83" s="15" t="inlineStr">
        <is>
          <t>Agency</t>
        </is>
      </c>
      <c r="G83" s="15" t="inlineStr">
        <is>
          <t>Amna Zubair</t>
        </is>
      </c>
      <c r="H83" s="15" t="inlineStr">
        <is>
          <t>Corporate</t>
        </is>
      </c>
      <c r="I83" s="14" t="n">
        <v>1200000</v>
      </c>
      <c r="J83" s="14" t="n">
        <v>11300</v>
      </c>
      <c r="K83" s="14" t="n">
        <v>14476</v>
      </c>
      <c r="L83" s="14" t="n">
        <v>1</v>
      </c>
      <c r="M83" s="15" t="inlineStr">
        <is>
          <t>Renewed</t>
        </is>
      </c>
    </row>
    <row r="84">
      <c r="A84" s="7" t="inlineStr">
        <is>
          <t>ADM-HLT-SKT-2024-2079</t>
        </is>
      </c>
      <c r="B84" s="40" t="n">
        <v>45488</v>
      </c>
      <c r="C84" s="7" t="inlineStr">
        <is>
          <t>Sialkot</t>
        </is>
      </c>
      <c r="D84" s="7" t="inlineStr">
        <is>
          <t>Central</t>
        </is>
      </c>
      <c r="E84" s="7" t="inlineStr">
        <is>
          <t>Health</t>
        </is>
      </c>
      <c r="F84" s="7" t="inlineStr">
        <is>
          <t>Bancassurance</t>
        </is>
      </c>
      <c r="G84" s="7" t="inlineStr">
        <is>
          <t>Rizwan Ali Soomro</t>
        </is>
      </c>
      <c r="H84" s="7" t="inlineStr">
        <is>
          <t>Individual</t>
        </is>
      </c>
      <c r="I84" s="11" t="n">
        <v>6800000</v>
      </c>
      <c r="J84" s="11" t="n">
        <v>190700</v>
      </c>
      <c r="K84" s="11" t="n">
        <v>63087</v>
      </c>
      <c r="L84" s="11" t="n">
        <v>1</v>
      </c>
      <c r="M84" s="7" t="inlineStr">
        <is>
          <t>Lapsed</t>
        </is>
      </c>
    </row>
    <row r="85">
      <c r="A85" s="15" t="inlineStr">
        <is>
          <t>ADM-MSC-RWP-2024-2080</t>
        </is>
      </c>
      <c r="B85" s="41" t="n">
        <v>45526</v>
      </c>
      <c r="C85" s="15" t="inlineStr">
        <is>
          <t>Rawalpindi</t>
        </is>
      </c>
      <c r="D85" s="15" t="inlineStr">
        <is>
          <t>North</t>
        </is>
      </c>
      <c r="E85" s="15" t="inlineStr">
        <is>
          <t>Miscellaneous</t>
        </is>
      </c>
      <c r="F85" s="15" t="inlineStr">
        <is>
          <t>Corporate</t>
        </is>
      </c>
      <c r="G85" s="15" t="inlineStr">
        <is>
          <t>Farhan Dar</t>
        </is>
      </c>
      <c r="H85" s="15" t="inlineStr">
        <is>
          <t>Corporate</t>
        </is>
      </c>
      <c r="I85" s="14" t="n">
        <v>3400000</v>
      </c>
      <c r="J85" s="14" t="n">
        <v>48700</v>
      </c>
      <c r="K85" s="14" t="n">
        <v>21523</v>
      </c>
      <c r="L85" s="14" t="n">
        <v>1</v>
      </c>
      <c r="M85" s="15" t="inlineStr">
        <is>
          <t>Cancelled</t>
        </is>
      </c>
    </row>
    <row r="86">
      <c r="A86" s="7" t="inlineStr">
        <is>
          <t>ADM-MAR-KHI-2024-2081</t>
        </is>
      </c>
      <c r="B86" s="40" t="n">
        <v>45536</v>
      </c>
      <c r="C86" s="7" t="inlineStr">
        <is>
          <t>Karachi Main</t>
        </is>
      </c>
      <c r="D86" s="7" t="inlineStr">
        <is>
          <t>South</t>
        </is>
      </c>
      <c r="E86" s="7" t="inlineStr">
        <is>
          <t>Marine Cargo</t>
        </is>
      </c>
      <c r="F86" s="7" t="inlineStr">
        <is>
          <t>Direct</t>
        </is>
      </c>
      <c r="G86" s="7" t="inlineStr">
        <is>
          <t>Sobia Naz</t>
        </is>
      </c>
      <c r="H86" s="7" t="inlineStr">
        <is>
          <t>Corporate</t>
        </is>
      </c>
      <c r="I86" s="11" t="n">
        <v>47000000</v>
      </c>
      <c r="J86" s="11" t="n">
        <v>237300</v>
      </c>
      <c r="K86" s="11" t="n">
        <v>327198</v>
      </c>
      <c r="L86" s="11" t="n">
        <v>1</v>
      </c>
      <c r="M86" s="7" t="inlineStr">
        <is>
          <t>Active</t>
        </is>
      </c>
    </row>
    <row r="87">
      <c r="A87" s="15" t="inlineStr">
        <is>
          <t>ADM-ENG-LHR-2024-2082</t>
        </is>
      </c>
      <c r="B87" s="41" t="n">
        <v>45573</v>
      </c>
      <c r="C87" s="15" t="inlineStr">
        <is>
          <t>Lahore Gulberg</t>
        </is>
      </c>
      <c r="D87" s="15" t="inlineStr">
        <is>
          <t>Central</t>
        </is>
      </c>
      <c r="E87" s="15" t="inlineStr">
        <is>
          <t>Engineering</t>
        </is>
      </c>
      <c r="F87" s="15" t="inlineStr">
        <is>
          <t>Agency</t>
        </is>
      </c>
      <c r="G87" s="15" t="inlineStr">
        <is>
          <t>Junaid Akram</t>
        </is>
      </c>
      <c r="H87" s="15" t="inlineStr">
        <is>
          <t>Individual</t>
        </is>
      </c>
      <c r="I87" s="14" t="n">
        <v>72000000</v>
      </c>
      <c r="J87" s="14" t="n">
        <v>1764300</v>
      </c>
      <c r="K87" s="14" t="n">
        <v>1315665</v>
      </c>
      <c r="L87" s="14" t="n">
        <v>1</v>
      </c>
      <c r="M87" s="15" t="inlineStr">
        <is>
          <t>Active</t>
        </is>
      </c>
    </row>
    <row r="88">
      <c r="A88" s="7" t="inlineStr">
        <is>
          <t>ADM-FIR-ISB-2024-2083</t>
        </is>
      </c>
      <c r="B88" s="40" t="n">
        <v>45611</v>
      </c>
      <c r="C88" s="7" t="inlineStr">
        <is>
          <t>Islamabad Blue Area</t>
        </is>
      </c>
      <c r="D88" s="7" t="inlineStr">
        <is>
          <t>North</t>
        </is>
      </c>
      <c r="E88" s="7" t="inlineStr">
        <is>
          <t>Fire &amp; Property</t>
        </is>
      </c>
      <c r="F88" s="7" t="inlineStr">
        <is>
          <t>Bancassurance</t>
        </is>
      </c>
      <c r="G88" s="7" t="inlineStr">
        <is>
          <t>Hamid Raza</t>
        </is>
      </c>
      <c r="H88" s="7" t="inlineStr">
        <is>
          <t>Corporate</t>
        </is>
      </c>
      <c r="I88" s="11" t="n">
        <v>28000000</v>
      </c>
      <c r="J88" s="11" t="n">
        <v>406100</v>
      </c>
      <c r="K88" s="11" t="n">
        <v>201854</v>
      </c>
      <c r="L88" s="11" t="n">
        <v>1</v>
      </c>
      <c r="M88" s="7" t="inlineStr">
        <is>
          <t>Renewed</t>
        </is>
      </c>
    </row>
    <row r="89">
      <c r="A89" s="15" t="inlineStr">
        <is>
          <t>ADM-TRV-FSD-2024-2084</t>
        </is>
      </c>
      <c r="B89" s="41" t="n">
        <v>45648</v>
      </c>
      <c r="C89" s="15" t="inlineStr">
        <is>
          <t>Faisalabad</t>
        </is>
      </c>
      <c r="D89" s="15" t="inlineStr">
        <is>
          <t>Central</t>
        </is>
      </c>
      <c r="E89" s="15" t="inlineStr">
        <is>
          <t>Travel</t>
        </is>
      </c>
      <c r="F89" s="15" t="inlineStr">
        <is>
          <t>Corporate</t>
        </is>
      </c>
      <c r="G89" s="15" t="inlineStr">
        <is>
          <t>Nimra Saleem</t>
        </is>
      </c>
      <c r="H89" s="15" t="inlineStr">
        <is>
          <t>Corporate</t>
        </is>
      </c>
      <c r="I89" s="14" t="n">
        <v>11500000</v>
      </c>
      <c r="J89" s="14" t="n">
        <v>202500</v>
      </c>
      <c r="K89" s="14" t="n">
        <v>158654</v>
      </c>
      <c r="L89" s="14" t="n">
        <v>1</v>
      </c>
      <c r="M89" s="15" t="inlineStr">
        <is>
          <t>Lapsed</t>
        </is>
      </c>
    </row>
    <row r="90">
      <c r="A90" s="7" t="inlineStr">
        <is>
          <t>ADM-MTR-MUL-2024-2085</t>
        </is>
      </c>
      <c r="B90" s="40" t="n">
        <v>45292</v>
      </c>
      <c r="C90" s="7" t="inlineStr">
        <is>
          <t>Multan</t>
        </is>
      </c>
      <c r="D90" s="7" t="inlineStr">
        <is>
          <t>Central</t>
        </is>
      </c>
      <c r="E90" s="7" t="inlineStr">
        <is>
          <t>Motor</t>
        </is>
      </c>
      <c r="F90" s="7" t="inlineStr">
        <is>
          <t>Direct</t>
        </is>
      </c>
      <c r="G90" s="7" t="inlineStr">
        <is>
          <t>Tariq Jameel</t>
        </is>
      </c>
      <c r="H90" s="7" t="inlineStr">
        <is>
          <t>Individual</t>
        </is>
      </c>
      <c r="I90" s="11" t="n">
        <v>6800000</v>
      </c>
      <c r="J90" s="11" t="n">
        <v>36100</v>
      </c>
      <c r="K90" s="11" t="n">
        <v>50561</v>
      </c>
      <c r="L90" s="11" t="n">
        <v>1</v>
      </c>
      <c r="M90" s="7" t="inlineStr">
        <is>
          <t>Cancelled</t>
        </is>
      </c>
    </row>
    <row r="91">
      <c r="A91" s="15" t="inlineStr">
        <is>
          <t>ADM-HLT-PEW-2024-2086</t>
        </is>
      </c>
      <c r="B91" s="41" t="n">
        <v>45330</v>
      </c>
      <c r="C91" s="15" t="inlineStr">
        <is>
          <t>Peshawar</t>
        </is>
      </c>
      <c r="D91" s="15" t="inlineStr">
        <is>
          <t>North</t>
        </is>
      </c>
      <c r="E91" s="15" t="inlineStr">
        <is>
          <t>Health</t>
        </is>
      </c>
      <c r="F91" s="15" t="inlineStr">
        <is>
          <t>Agency</t>
        </is>
      </c>
      <c r="G91" s="15" t="inlineStr">
        <is>
          <t>Nadia Hassan</t>
        </is>
      </c>
      <c r="H91" s="15" t="inlineStr">
        <is>
          <t>Corporate</t>
        </is>
      </c>
      <c r="I91" s="14" t="n">
        <v>6800000</v>
      </c>
      <c r="J91" s="14" t="n">
        <v>140600</v>
      </c>
      <c r="K91" s="14" t="n">
        <v>238796</v>
      </c>
      <c r="L91" s="14" t="n">
        <v>1</v>
      </c>
      <c r="M91" s="15" t="inlineStr">
        <is>
          <t>Active</t>
        </is>
      </c>
    </row>
    <row r="92">
      <c r="A92" s="7" t="inlineStr">
        <is>
          <t>ADM-MSC-QTA-2024-2087</t>
        </is>
      </c>
      <c r="B92" s="40" t="n">
        <v>45366</v>
      </c>
      <c r="C92" s="7" t="inlineStr">
        <is>
          <t>Quetta</t>
        </is>
      </c>
      <c r="D92" s="7" t="inlineStr">
        <is>
          <t>South</t>
        </is>
      </c>
      <c r="E92" s="7" t="inlineStr">
        <is>
          <t>Miscellaneous</t>
        </is>
      </c>
      <c r="F92" s="7" t="inlineStr">
        <is>
          <t>Bancassurance</t>
        </is>
      </c>
      <c r="G92" s="7" t="inlineStr">
        <is>
          <t>Salman Shah</t>
        </is>
      </c>
      <c r="H92" s="7" t="inlineStr">
        <is>
          <t>Corporate</t>
        </is>
      </c>
      <c r="I92" s="11" t="n">
        <v>19000000</v>
      </c>
      <c r="J92" s="11" t="n">
        <v>350400</v>
      </c>
      <c r="K92" s="11" t="n">
        <v>664530</v>
      </c>
      <c r="L92" s="11" t="n">
        <v>1</v>
      </c>
      <c r="M92" s="7" t="inlineStr">
        <is>
          <t>Active</t>
        </is>
      </c>
    </row>
    <row r="93">
      <c r="A93" s="15" t="inlineStr">
        <is>
          <t>ADM-MAR-HYD-2024-2088</t>
        </is>
      </c>
      <c r="B93" s="41" t="n">
        <v>45404</v>
      </c>
      <c r="C93" s="15" t="inlineStr">
        <is>
          <t>Hyderabad</t>
        </is>
      </c>
      <c r="D93" s="15" t="inlineStr">
        <is>
          <t>South</t>
        </is>
      </c>
      <c r="E93" s="15" t="inlineStr">
        <is>
          <t>Marine Cargo</t>
        </is>
      </c>
      <c r="F93" s="15" t="inlineStr">
        <is>
          <t>Corporate</t>
        </is>
      </c>
      <c r="G93" s="15" t="inlineStr">
        <is>
          <t>Komal Bashir</t>
        </is>
      </c>
      <c r="H93" s="15" t="inlineStr">
        <is>
          <t>Individual</t>
        </is>
      </c>
      <c r="I93" s="14" t="n">
        <v>72000000</v>
      </c>
      <c r="J93" s="14" t="n">
        <v>1685500</v>
      </c>
      <c r="K93" s="14" t="n">
        <v>1657983</v>
      </c>
      <c r="L93" s="14" t="n">
        <v>1</v>
      </c>
      <c r="M93" s="15" t="inlineStr">
        <is>
          <t>Renewed</t>
        </is>
      </c>
    </row>
    <row r="94">
      <c r="A94" s="7" t="inlineStr">
        <is>
          <t>ADM-ENG-SKT-2024-2089</t>
        </is>
      </c>
      <c r="B94" s="40" t="n">
        <v>45413</v>
      </c>
      <c r="C94" s="7" t="inlineStr">
        <is>
          <t>Sialkot</t>
        </is>
      </c>
      <c r="D94" s="7" t="inlineStr">
        <is>
          <t>Central</t>
        </is>
      </c>
      <c r="E94" s="7" t="inlineStr">
        <is>
          <t>Engineering</t>
        </is>
      </c>
      <c r="F94" s="7" t="inlineStr">
        <is>
          <t>Direct</t>
        </is>
      </c>
      <c r="G94" s="7" t="inlineStr">
        <is>
          <t>Waqar Younis Khan</t>
        </is>
      </c>
      <c r="H94" s="7" t="inlineStr">
        <is>
          <t>Corporate</t>
        </is>
      </c>
      <c r="I94" s="11" t="n">
        <v>47000000</v>
      </c>
      <c r="J94" s="11" t="n">
        <v>988500</v>
      </c>
      <c r="K94" s="11" t="n">
        <v>1297814</v>
      </c>
      <c r="L94" s="11" t="n">
        <v>1</v>
      </c>
      <c r="M94" s="7" t="inlineStr">
        <is>
          <t>Lapsed</t>
        </is>
      </c>
    </row>
    <row r="95">
      <c r="A95" s="15" t="inlineStr">
        <is>
          <t>ADM-FIR-RWP-2024-2090</t>
        </is>
      </c>
      <c r="B95" s="41" t="n">
        <v>45451</v>
      </c>
      <c r="C95" s="15" t="inlineStr">
        <is>
          <t>Rawalpindi</t>
        </is>
      </c>
      <c r="D95" s="15" t="inlineStr">
        <is>
          <t>North</t>
        </is>
      </c>
      <c r="E95" s="15" t="inlineStr">
        <is>
          <t>Fire &amp; Property</t>
        </is>
      </c>
      <c r="F95" s="15" t="inlineStr">
        <is>
          <t>Agency</t>
        </is>
      </c>
      <c r="G95" s="15" t="inlineStr">
        <is>
          <t>Amna Zubair</t>
        </is>
      </c>
      <c r="H95" s="15" t="inlineStr">
        <is>
          <t>Corporate</t>
        </is>
      </c>
      <c r="I95" s="14" t="n">
        <v>19000000</v>
      </c>
      <c r="J95" s="14" t="n">
        <v>215900</v>
      </c>
      <c r="K95" s="14" t="n">
        <v>64887</v>
      </c>
      <c r="L95" s="14" t="n">
        <v>1</v>
      </c>
      <c r="M95" s="15" t="inlineStr">
        <is>
          <t>Cancelled</t>
        </is>
      </c>
    </row>
    <row r="96">
      <c r="A96" s="7" t="inlineStr">
        <is>
          <t>ADM-TRV-KHI-2024-2091</t>
        </is>
      </c>
      <c r="B96" s="40" t="n">
        <v>45488</v>
      </c>
      <c r="C96" s="7" t="inlineStr">
        <is>
          <t>Karachi Main</t>
        </is>
      </c>
      <c r="D96" s="7" t="inlineStr">
        <is>
          <t>South</t>
        </is>
      </c>
      <c r="E96" s="7" t="inlineStr">
        <is>
          <t>Travel</t>
        </is>
      </c>
      <c r="F96" s="7" t="inlineStr">
        <is>
          <t>Bancassurance</t>
        </is>
      </c>
      <c r="G96" s="7" t="inlineStr">
        <is>
          <t>Rizwan Ali Soomro</t>
        </is>
      </c>
      <c r="H96" s="7" t="inlineStr">
        <is>
          <t>Individual</t>
        </is>
      </c>
      <c r="I96" s="11" t="n">
        <v>47000000</v>
      </c>
      <c r="J96" s="11" t="n">
        <v>268400</v>
      </c>
      <c r="K96" s="11" t="n">
        <v>149803</v>
      </c>
      <c r="L96" s="11" t="n">
        <v>1</v>
      </c>
      <c r="M96" s="7" t="inlineStr">
        <is>
          <t>Active</t>
        </is>
      </c>
    </row>
    <row r="97">
      <c r="A97" s="15" t="inlineStr">
        <is>
          <t>ADM-MTR-LHR-2024-2092</t>
        </is>
      </c>
      <c r="B97" s="41" t="n">
        <v>45526</v>
      </c>
      <c r="C97" s="15" t="inlineStr">
        <is>
          <t>Lahore Gulberg</t>
        </is>
      </c>
      <c r="D97" s="15" t="inlineStr">
        <is>
          <t>Central</t>
        </is>
      </c>
      <c r="E97" s="15" t="inlineStr">
        <is>
          <t>Motor</t>
        </is>
      </c>
      <c r="F97" s="15" t="inlineStr">
        <is>
          <t>Corporate</t>
        </is>
      </c>
      <c r="G97" s="15" t="inlineStr">
        <is>
          <t>Farhan Dar</t>
        </is>
      </c>
      <c r="H97" s="15" t="inlineStr">
        <is>
          <t>Corporate</t>
        </is>
      </c>
      <c r="I97" s="14" t="n">
        <v>47000000</v>
      </c>
      <c r="J97" s="14" t="n">
        <v>1406900</v>
      </c>
      <c r="K97" s="14" t="n">
        <v>295893</v>
      </c>
      <c r="L97" s="14" t="n">
        <v>1</v>
      </c>
      <c r="M97" s="15" t="inlineStr">
        <is>
          <t>Active</t>
        </is>
      </c>
    </row>
    <row r="98">
      <c r="A98" s="7" t="inlineStr">
        <is>
          <t>ADM-HLT-ISB-2024-2093</t>
        </is>
      </c>
      <c r="B98" s="40" t="n">
        <v>45536</v>
      </c>
      <c r="C98" s="7" t="inlineStr">
        <is>
          <t>Islamabad Blue Area</t>
        </is>
      </c>
      <c r="D98" s="7" t="inlineStr">
        <is>
          <t>North</t>
        </is>
      </c>
      <c r="E98" s="7" t="inlineStr">
        <is>
          <t>Health</t>
        </is>
      </c>
      <c r="F98" s="7" t="inlineStr">
        <is>
          <t>Direct</t>
        </is>
      </c>
      <c r="G98" s="7" t="inlineStr">
        <is>
          <t>Sobia Naz</t>
        </is>
      </c>
      <c r="H98" s="7" t="inlineStr">
        <is>
          <t>Corporate</t>
        </is>
      </c>
      <c r="I98" s="11" t="n">
        <v>19000000</v>
      </c>
      <c r="J98" s="11" t="n">
        <v>321300</v>
      </c>
      <c r="K98" s="11" t="n">
        <v>26393</v>
      </c>
      <c r="L98" s="11" t="n">
        <v>1</v>
      </c>
      <c r="M98" s="7" t="inlineStr">
        <is>
          <t>Renewed</t>
        </is>
      </c>
    </row>
    <row r="99">
      <c r="A99" s="15" t="inlineStr">
        <is>
          <t>ADM-MSC-FSD-2024-2094</t>
        </is>
      </c>
      <c r="B99" s="41" t="n">
        <v>45573</v>
      </c>
      <c r="C99" s="15" t="inlineStr">
        <is>
          <t>Faisalabad</t>
        </is>
      </c>
      <c r="D99" s="15" t="inlineStr">
        <is>
          <t>Central</t>
        </is>
      </c>
      <c r="E99" s="15" t="inlineStr">
        <is>
          <t>Miscellaneous</t>
        </is>
      </c>
      <c r="F99" s="15" t="inlineStr">
        <is>
          <t>Agency</t>
        </is>
      </c>
      <c r="G99" s="15" t="inlineStr">
        <is>
          <t>Junaid Akram</t>
        </is>
      </c>
      <c r="H99" s="15" t="inlineStr">
        <is>
          <t>Individual</t>
        </is>
      </c>
      <c r="I99" s="14" t="n">
        <v>47000000</v>
      </c>
      <c r="J99" s="14" t="n">
        <v>941400</v>
      </c>
      <c r="K99" s="14" t="n">
        <v>1091541</v>
      </c>
      <c r="L99" s="14" t="n">
        <v>1</v>
      </c>
      <c r="M99" s="15" t="inlineStr">
        <is>
          <t>Lapsed</t>
        </is>
      </c>
    </row>
    <row r="100">
      <c r="A100" s="7" t="inlineStr">
        <is>
          <t>ADM-MAR-MUL-2024-2095</t>
        </is>
      </c>
      <c r="B100" s="40" t="n">
        <v>45611</v>
      </c>
      <c r="C100" s="7" t="inlineStr">
        <is>
          <t>Multan</t>
        </is>
      </c>
      <c r="D100" s="7" t="inlineStr">
        <is>
          <t>Central</t>
        </is>
      </c>
      <c r="E100" s="7" t="inlineStr">
        <is>
          <t>Marine Cargo</t>
        </is>
      </c>
      <c r="F100" s="7" t="inlineStr">
        <is>
          <t>Bancassurance</t>
        </is>
      </c>
      <c r="G100" s="7" t="inlineStr">
        <is>
          <t>Hamid Raza</t>
        </is>
      </c>
      <c r="H100" s="7" t="inlineStr">
        <is>
          <t>Corporate</t>
        </is>
      </c>
      <c r="I100" s="11" t="n">
        <v>28000000</v>
      </c>
      <c r="J100" s="11" t="n">
        <v>839200</v>
      </c>
      <c r="K100" s="11" t="n">
        <v>226378</v>
      </c>
      <c r="L100" s="11" t="n">
        <v>1</v>
      </c>
      <c r="M100" s="7" t="inlineStr">
        <is>
          <t>Cancelled</t>
        </is>
      </c>
    </row>
    <row r="101">
      <c r="A101" s="15" t="inlineStr">
        <is>
          <t>ADM-ENG-PEW-2024-2096</t>
        </is>
      </c>
      <c r="B101" s="41" t="n">
        <v>45648</v>
      </c>
      <c r="C101" s="15" t="inlineStr">
        <is>
          <t>Peshawar</t>
        </is>
      </c>
      <c r="D101" s="15" t="inlineStr">
        <is>
          <t>North</t>
        </is>
      </c>
      <c r="E101" s="15" t="inlineStr">
        <is>
          <t>Engineering</t>
        </is>
      </c>
      <c r="F101" s="15" t="inlineStr">
        <is>
          <t>Corporate</t>
        </is>
      </c>
      <c r="G101" s="15" t="inlineStr">
        <is>
          <t>Nimra Saleem</t>
        </is>
      </c>
      <c r="H101" s="15" t="inlineStr">
        <is>
          <t>Corporate</t>
        </is>
      </c>
      <c r="I101" s="14" t="n">
        <v>19000000</v>
      </c>
      <c r="J101" s="14" t="n">
        <v>542800</v>
      </c>
      <c r="K101" s="14" t="n">
        <v>248383</v>
      </c>
      <c r="L101" s="14" t="n">
        <v>1</v>
      </c>
      <c r="M101" s="15" t="inlineStr">
        <is>
          <t>Active</t>
        </is>
      </c>
    </row>
    <row r="102">
      <c r="A102" s="7" t="inlineStr">
        <is>
          <t>ADM-FIR-QTA-2024-2097</t>
        </is>
      </c>
      <c r="B102" s="40" t="n">
        <v>45292</v>
      </c>
      <c r="C102" s="7" t="inlineStr">
        <is>
          <t>Quetta</t>
        </is>
      </c>
      <c r="D102" s="7" t="inlineStr">
        <is>
          <t>South</t>
        </is>
      </c>
      <c r="E102" s="7" t="inlineStr">
        <is>
          <t>Fire &amp; Property</t>
        </is>
      </c>
      <c r="F102" s="7" t="inlineStr">
        <is>
          <t>Direct</t>
        </is>
      </c>
      <c r="G102" s="7" t="inlineStr">
        <is>
          <t>Tariq Jameel</t>
        </is>
      </c>
      <c r="H102" s="7" t="inlineStr">
        <is>
          <t>Individual</t>
        </is>
      </c>
      <c r="I102" s="11" t="n">
        <v>1200000</v>
      </c>
      <c r="J102" s="11" t="n">
        <v>16300</v>
      </c>
      <c r="K102" s="11" t="n">
        <v>28348</v>
      </c>
      <c r="L102" s="11" t="n">
        <v>1</v>
      </c>
      <c r="M102" s="7" t="inlineStr">
        <is>
          <t>Active</t>
        </is>
      </c>
    </row>
    <row r="103">
      <c r="A103" s="15" t="inlineStr">
        <is>
          <t>ADM-TRV-HYD-2024-2098</t>
        </is>
      </c>
      <c r="B103" s="41" t="n">
        <v>45330</v>
      </c>
      <c r="C103" s="15" t="inlineStr">
        <is>
          <t>Hyderabad</t>
        </is>
      </c>
      <c r="D103" s="15" t="inlineStr">
        <is>
          <t>South</t>
        </is>
      </c>
      <c r="E103" s="15" t="inlineStr">
        <is>
          <t>Travel</t>
        </is>
      </c>
      <c r="F103" s="15" t="inlineStr">
        <is>
          <t>Agency</t>
        </is>
      </c>
      <c r="G103" s="15" t="inlineStr">
        <is>
          <t>Nadia Hassan</t>
        </is>
      </c>
      <c r="H103" s="15" t="inlineStr">
        <is>
          <t>Corporate</t>
        </is>
      </c>
      <c r="I103" s="14" t="n">
        <v>28000000</v>
      </c>
      <c r="J103" s="14" t="n">
        <v>753600</v>
      </c>
      <c r="K103" s="14" t="n">
        <v>624051</v>
      </c>
      <c r="L103" s="14" t="n">
        <v>1</v>
      </c>
      <c r="M103" s="15" t="inlineStr">
        <is>
          <t>Renewed</t>
        </is>
      </c>
    </row>
    <row r="104">
      <c r="A104" s="7" t="inlineStr">
        <is>
          <t>ADM-MTR-SKT-2024-2099</t>
        </is>
      </c>
      <c r="B104" s="40" t="n">
        <v>45366</v>
      </c>
      <c r="C104" s="7" t="inlineStr">
        <is>
          <t>Sialkot</t>
        </is>
      </c>
      <c r="D104" s="7" t="inlineStr">
        <is>
          <t>Central</t>
        </is>
      </c>
      <c r="E104" s="7" t="inlineStr">
        <is>
          <t>Motor</t>
        </is>
      </c>
      <c r="F104" s="7" t="inlineStr">
        <is>
          <t>Bancassurance</t>
        </is>
      </c>
      <c r="G104" s="7" t="inlineStr">
        <is>
          <t>Salman Shah</t>
        </is>
      </c>
      <c r="H104" s="7" t="inlineStr">
        <is>
          <t>Corporate</t>
        </is>
      </c>
      <c r="I104" s="11" t="n">
        <v>28000000</v>
      </c>
      <c r="J104" s="11" t="n">
        <v>858000</v>
      </c>
      <c r="K104" s="11" t="n">
        <v>710027</v>
      </c>
      <c r="L104" s="11" t="n">
        <v>1</v>
      </c>
      <c r="M104" s="7" t="inlineStr">
        <is>
          <t>Lapsed</t>
        </is>
      </c>
    </row>
    <row r="105">
      <c r="A105" s="15" t="inlineStr">
        <is>
          <t>ADM-HLT-RWP-2024-2100</t>
        </is>
      </c>
      <c r="B105" s="41" t="n">
        <v>45404</v>
      </c>
      <c r="C105" s="15" t="inlineStr">
        <is>
          <t>Rawalpindi</t>
        </is>
      </c>
      <c r="D105" s="15" t="inlineStr">
        <is>
          <t>North</t>
        </is>
      </c>
      <c r="E105" s="15" t="inlineStr">
        <is>
          <t>Health</t>
        </is>
      </c>
      <c r="F105" s="15" t="inlineStr">
        <is>
          <t>Corporate</t>
        </is>
      </c>
      <c r="G105" s="15" t="inlineStr">
        <is>
          <t>Komal Bashir</t>
        </is>
      </c>
      <c r="H105" s="15" t="inlineStr">
        <is>
          <t>Individual</t>
        </is>
      </c>
      <c r="I105" s="14" t="n">
        <v>47000000</v>
      </c>
      <c r="J105" s="14" t="n">
        <v>701000</v>
      </c>
      <c r="K105" s="14" t="n">
        <v>1038676</v>
      </c>
      <c r="L105" s="14" t="n">
        <v>1</v>
      </c>
      <c r="M105" s="15" t="inlineStr">
        <is>
          <t>Cancelled</t>
        </is>
      </c>
    </row>
    <row r="106">
      <c r="A106" s="7" t="inlineStr">
        <is>
          <t>ADM-MSC-KHI-2024-2101</t>
        </is>
      </c>
      <c r="B106" s="40" t="n">
        <v>45413</v>
      </c>
      <c r="C106" s="7" t="inlineStr">
        <is>
          <t>Karachi Main</t>
        </is>
      </c>
      <c r="D106" s="7" t="inlineStr">
        <is>
          <t>South</t>
        </is>
      </c>
      <c r="E106" s="7" t="inlineStr">
        <is>
          <t>Miscellaneous</t>
        </is>
      </c>
      <c r="F106" s="7" t="inlineStr">
        <is>
          <t>Direct</t>
        </is>
      </c>
      <c r="G106" s="7" t="inlineStr">
        <is>
          <t>Waqar Younis Khan</t>
        </is>
      </c>
      <c r="H106" s="7" t="inlineStr">
        <is>
          <t>Corporate</t>
        </is>
      </c>
      <c r="I106" s="11" t="n">
        <v>28000000</v>
      </c>
      <c r="J106" s="11" t="n">
        <v>801300</v>
      </c>
      <c r="K106" s="11" t="n">
        <v>179274</v>
      </c>
      <c r="L106" s="11" t="n">
        <v>1</v>
      </c>
      <c r="M106" s="7" t="inlineStr">
        <is>
          <t>Active</t>
        </is>
      </c>
    </row>
    <row r="107">
      <c r="A107" s="15" t="inlineStr">
        <is>
          <t>ADM-MAR-LHR-2024-2102</t>
        </is>
      </c>
      <c r="B107" s="41" t="n">
        <v>45451</v>
      </c>
      <c r="C107" s="15" t="inlineStr">
        <is>
          <t>Lahore Gulberg</t>
        </is>
      </c>
      <c r="D107" s="15" t="inlineStr">
        <is>
          <t>Central</t>
        </is>
      </c>
      <c r="E107" s="15" t="inlineStr">
        <is>
          <t>Marine Cargo</t>
        </is>
      </c>
      <c r="F107" s="15" t="inlineStr">
        <is>
          <t>Agency</t>
        </is>
      </c>
      <c r="G107" s="15" t="inlineStr">
        <is>
          <t>Amna Zubair</t>
        </is>
      </c>
      <c r="H107" s="15" t="inlineStr">
        <is>
          <t>Corporate</t>
        </is>
      </c>
      <c r="I107" s="14" t="n">
        <v>47000000</v>
      </c>
      <c r="J107" s="14" t="n">
        <v>496500</v>
      </c>
      <c r="K107" s="14" t="n">
        <v>654105</v>
      </c>
      <c r="L107" s="14" t="n">
        <v>1</v>
      </c>
      <c r="M107" s="15" t="inlineStr">
        <is>
          <t>Active</t>
        </is>
      </c>
    </row>
    <row r="108">
      <c r="A108" s="7" t="inlineStr">
        <is>
          <t>ADM-ENG-ISB-2024-2103</t>
        </is>
      </c>
      <c r="B108" s="40" t="n">
        <v>45488</v>
      </c>
      <c r="C108" s="7" t="inlineStr">
        <is>
          <t>Islamabad Blue Area</t>
        </is>
      </c>
      <c r="D108" s="7" t="inlineStr">
        <is>
          <t>North</t>
        </is>
      </c>
      <c r="E108" s="7" t="inlineStr">
        <is>
          <t>Engineering</t>
        </is>
      </c>
      <c r="F108" s="7" t="inlineStr">
        <is>
          <t>Bancassurance</t>
        </is>
      </c>
      <c r="G108" s="7" t="inlineStr">
        <is>
          <t>Rizwan Ali Soomro</t>
        </is>
      </c>
      <c r="H108" s="7" t="inlineStr">
        <is>
          <t>Individual</t>
        </is>
      </c>
      <c r="I108" s="11" t="n">
        <v>28000000</v>
      </c>
      <c r="J108" s="11" t="n">
        <v>277500</v>
      </c>
      <c r="K108" s="11" t="n">
        <v>119888</v>
      </c>
      <c r="L108" s="11" t="n">
        <v>1</v>
      </c>
      <c r="M108" s="7" t="inlineStr">
        <is>
          <t>Renewed</t>
        </is>
      </c>
    </row>
    <row r="109">
      <c r="A109" s="15" t="inlineStr">
        <is>
          <t>ADM-FIR-FSD-2024-2104</t>
        </is>
      </c>
      <c r="B109" s="41" t="n">
        <v>45526</v>
      </c>
      <c r="C109" s="15" t="inlineStr">
        <is>
          <t>Faisalabad</t>
        </is>
      </c>
      <c r="D109" s="15" t="inlineStr">
        <is>
          <t>Central</t>
        </is>
      </c>
      <c r="E109" s="15" t="inlineStr">
        <is>
          <t>Fire &amp; Property</t>
        </is>
      </c>
      <c r="F109" s="15" t="inlineStr">
        <is>
          <t>Corporate</t>
        </is>
      </c>
      <c r="G109" s="15" t="inlineStr">
        <is>
          <t>Farhan Dar</t>
        </is>
      </c>
      <c r="H109" s="15" t="inlineStr">
        <is>
          <t>Corporate</t>
        </is>
      </c>
      <c r="I109" s="14" t="n">
        <v>28000000</v>
      </c>
      <c r="J109" s="14" t="n">
        <v>407700</v>
      </c>
      <c r="K109" s="14" t="n">
        <v>165841</v>
      </c>
      <c r="L109" s="14" t="n">
        <v>1</v>
      </c>
      <c r="M109" s="15" t="inlineStr">
        <is>
          <t>Lapsed</t>
        </is>
      </c>
    </row>
    <row r="110">
      <c r="A110" s="7" t="inlineStr">
        <is>
          <t>ADM-TRV-MUL-2024-2105</t>
        </is>
      </c>
      <c r="B110" s="40" t="n">
        <v>45536</v>
      </c>
      <c r="C110" s="7" t="inlineStr">
        <is>
          <t>Multan</t>
        </is>
      </c>
      <c r="D110" s="7" t="inlineStr">
        <is>
          <t>Central</t>
        </is>
      </c>
      <c r="E110" s="7" t="inlineStr">
        <is>
          <t>Travel</t>
        </is>
      </c>
      <c r="F110" s="7" t="inlineStr">
        <is>
          <t>Direct</t>
        </is>
      </c>
      <c r="G110" s="7" t="inlineStr">
        <is>
          <t>Sobia Naz</t>
        </is>
      </c>
      <c r="H110" s="7" t="inlineStr">
        <is>
          <t>Corporate</t>
        </is>
      </c>
      <c r="I110" s="11" t="n">
        <v>6800000</v>
      </c>
      <c r="J110" s="11" t="n">
        <v>165000</v>
      </c>
      <c r="K110" s="11" t="n">
        <v>287159</v>
      </c>
      <c r="L110" s="11" t="n">
        <v>1</v>
      </c>
      <c r="M110" s="7" t="inlineStr">
        <is>
          <t>Cancelled</t>
        </is>
      </c>
    </row>
    <row r="111">
      <c r="A111" s="15" t="inlineStr">
        <is>
          <t>ADM-MTR-PEW-2024-2106</t>
        </is>
      </c>
      <c r="B111" s="41" t="n">
        <v>45573</v>
      </c>
      <c r="C111" s="15" t="inlineStr">
        <is>
          <t>Peshawar</t>
        </is>
      </c>
      <c r="D111" s="15" t="inlineStr">
        <is>
          <t>North</t>
        </is>
      </c>
      <c r="E111" s="15" t="inlineStr">
        <is>
          <t>Motor</t>
        </is>
      </c>
      <c r="F111" s="15" t="inlineStr">
        <is>
          <t>Agency</t>
        </is>
      </c>
      <c r="G111" s="15" t="inlineStr">
        <is>
          <t>Junaid Akram</t>
        </is>
      </c>
      <c r="H111" s="15" t="inlineStr">
        <is>
          <t>Individual</t>
        </is>
      </c>
      <c r="I111" s="14" t="n">
        <v>11500000</v>
      </c>
      <c r="J111" s="14" t="n">
        <v>164500</v>
      </c>
      <c r="K111" s="14" t="n">
        <v>116615</v>
      </c>
      <c r="L111" s="14" t="n">
        <v>1</v>
      </c>
      <c r="M111" s="15" t="inlineStr">
        <is>
          <t>Active</t>
        </is>
      </c>
    </row>
    <row r="112">
      <c r="A112" s="7" t="inlineStr">
        <is>
          <t>ADM-HLT-QTA-2024-2107</t>
        </is>
      </c>
      <c r="B112" s="40" t="n">
        <v>45611</v>
      </c>
      <c r="C112" s="7" t="inlineStr">
        <is>
          <t>Quetta</t>
        </is>
      </c>
      <c r="D112" s="7" t="inlineStr">
        <is>
          <t>South</t>
        </is>
      </c>
      <c r="E112" s="7" t="inlineStr">
        <is>
          <t>Health</t>
        </is>
      </c>
      <c r="F112" s="7" t="inlineStr">
        <is>
          <t>Bancassurance</t>
        </is>
      </c>
      <c r="G112" s="7" t="inlineStr">
        <is>
          <t>Hamid Raza</t>
        </is>
      </c>
      <c r="H112" s="7" t="inlineStr">
        <is>
          <t>Corporate</t>
        </is>
      </c>
      <c r="I112" s="11" t="n">
        <v>1200000</v>
      </c>
      <c r="J112" s="11" t="n">
        <v>20400</v>
      </c>
      <c r="K112" s="11" t="n">
        <v>38497</v>
      </c>
      <c r="L112" s="11" t="n">
        <v>1</v>
      </c>
      <c r="M112" s="7" t="inlineStr">
        <is>
          <t>Active</t>
        </is>
      </c>
    </row>
    <row r="113">
      <c r="A113" s="15" t="inlineStr">
        <is>
          <t>ADM-MSC-HYD-2024-2108</t>
        </is>
      </c>
      <c r="B113" s="41" t="n">
        <v>45648</v>
      </c>
      <c r="C113" s="15" t="inlineStr">
        <is>
          <t>Hyderabad</t>
        </is>
      </c>
      <c r="D113" s="15" t="inlineStr">
        <is>
          <t>South</t>
        </is>
      </c>
      <c r="E113" s="15" t="inlineStr">
        <is>
          <t>Miscellaneous</t>
        </is>
      </c>
      <c r="F113" s="15" t="inlineStr">
        <is>
          <t>Corporate</t>
        </is>
      </c>
      <c r="G113" s="15" t="inlineStr">
        <is>
          <t>Nimra Saleem</t>
        </is>
      </c>
      <c r="H113" s="15" t="inlineStr">
        <is>
          <t>Corporate</t>
        </is>
      </c>
      <c r="I113" s="14" t="n">
        <v>28000000</v>
      </c>
      <c r="J113" s="14" t="n">
        <v>283000</v>
      </c>
      <c r="K113" s="14" t="n">
        <v>228763</v>
      </c>
      <c r="L113" s="14" t="n">
        <v>1</v>
      </c>
      <c r="M113" s="15" t="inlineStr">
        <is>
          <t>Renewed</t>
        </is>
      </c>
    </row>
    <row r="114">
      <c r="A114" s="7" t="inlineStr">
        <is>
          <t>ADM-MAR-SKT-2024-2109</t>
        </is>
      </c>
      <c r="B114" s="40" t="n">
        <v>45292</v>
      </c>
      <c r="C114" s="7" t="inlineStr">
        <is>
          <t>Sialkot</t>
        </is>
      </c>
      <c r="D114" s="7" t="inlineStr">
        <is>
          <t>Central</t>
        </is>
      </c>
      <c r="E114" s="7" t="inlineStr">
        <is>
          <t>Marine Cargo</t>
        </is>
      </c>
      <c r="F114" s="7" t="inlineStr">
        <is>
          <t>Direct</t>
        </is>
      </c>
      <c r="G114" s="7" t="inlineStr">
        <is>
          <t>Tariq Jameel</t>
        </is>
      </c>
      <c r="H114" s="7" t="inlineStr">
        <is>
          <t>Individual</t>
        </is>
      </c>
      <c r="I114" s="11" t="n">
        <v>28000000</v>
      </c>
      <c r="J114" s="11" t="n">
        <v>167600</v>
      </c>
      <c r="K114" s="11" t="n">
        <v>156514</v>
      </c>
      <c r="L114" s="11" t="n">
        <v>1</v>
      </c>
      <c r="M114" s="7" t="inlineStr">
        <is>
          <t>Lapsed</t>
        </is>
      </c>
    </row>
    <row r="115">
      <c r="A115" s="15" t="inlineStr">
        <is>
          <t>ADM-ENG-RWP-2024-2110</t>
        </is>
      </c>
      <c r="B115" s="41" t="n">
        <v>45330</v>
      </c>
      <c r="C115" s="15" t="inlineStr">
        <is>
          <t>Rawalpindi</t>
        </is>
      </c>
      <c r="D115" s="15" t="inlineStr">
        <is>
          <t>North</t>
        </is>
      </c>
      <c r="E115" s="15" t="inlineStr">
        <is>
          <t>Engineering</t>
        </is>
      </c>
      <c r="F115" s="15" t="inlineStr">
        <is>
          <t>Agency</t>
        </is>
      </c>
      <c r="G115" s="15" t="inlineStr">
        <is>
          <t>Nadia Hassan</t>
        </is>
      </c>
      <c r="H115" s="15" t="inlineStr">
        <is>
          <t>Corporate</t>
        </is>
      </c>
      <c r="I115" s="14" t="n">
        <v>72000000</v>
      </c>
      <c r="J115" s="14" t="n">
        <v>1093900</v>
      </c>
      <c r="K115" s="14" t="n">
        <v>310278</v>
      </c>
      <c r="L115" s="14" t="n">
        <v>1</v>
      </c>
      <c r="M115" s="15" t="inlineStr">
        <is>
          <t>Cancelled</t>
        </is>
      </c>
    </row>
    <row r="116">
      <c r="A116" s="7" t="inlineStr">
        <is>
          <t>ADM-FIR-KHI-2024-2111</t>
        </is>
      </c>
      <c r="B116" s="40" t="n">
        <v>45366</v>
      </c>
      <c r="C116" s="7" t="inlineStr">
        <is>
          <t>Karachi Main</t>
        </is>
      </c>
      <c r="D116" s="7" t="inlineStr">
        <is>
          <t>South</t>
        </is>
      </c>
      <c r="E116" s="7" t="inlineStr">
        <is>
          <t>Fire &amp; Property</t>
        </is>
      </c>
      <c r="F116" s="7" t="inlineStr">
        <is>
          <t>Bancassurance</t>
        </is>
      </c>
      <c r="G116" s="7" t="inlineStr">
        <is>
          <t>Salman Shah</t>
        </is>
      </c>
      <c r="H116" s="7" t="inlineStr">
        <is>
          <t>Corporate</t>
        </is>
      </c>
      <c r="I116" s="11" t="n">
        <v>11500000</v>
      </c>
      <c r="J116" s="11" t="n">
        <v>355200</v>
      </c>
      <c r="K116" s="11" t="n">
        <v>7123</v>
      </c>
      <c r="L116" s="11" t="n">
        <v>1</v>
      </c>
      <c r="M116" s="7" t="inlineStr">
        <is>
          <t>Active</t>
        </is>
      </c>
    </row>
    <row r="117">
      <c r="A117" s="15" t="inlineStr">
        <is>
          <t>ADM-TRV-LHR-2024-2112</t>
        </is>
      </c>
      <c r="B117" s="41" t="n">
        <v>45404</v>
      </c>
      <c r="C117" s="15" t="inlineStr">
        <is>
          <t>Lahore Gulberg</t>
        </is>
      </c>
      <c r="D117" s="15" t="inlineStr">
        <is>
          <t>Central</t>
        </is>
      </c>
      <c r="E117" s="15" t="inlineStr">
        <is>
          <t>Travel</t>
        </is>
      </c>
      <c r="F117" s="15" t="inlineStr">
        <is>
          <t>Corporate</t>
        </is>
      </c>
      <c r="G117" s="15" t="inlineStr">
        <is>
          <t>Komal Bashir</t>
        </is>
      </c>
      <c r="H117" s="15" t="inlineStr">
        <is>
          <t>Individual</t>
        </is>
      </c>
      <c r="I117" s="14" t="n">
        <v>28000000</v>
      </c>
      <c r="J117" s="14" t="n">
        <v>555900</v>
      </c>
      <c r="K117" s="14" t="n">
        <v>328413</v>
      </c>
      <c r="L117" s="14" t="n">
        <v>1</v>
      </c>
      <c r="M117" s="15" t="inlineStr">
        <is>
          <t>Active</t>
        </is>
      </c>
    </row>
    <row r="118">
      <c r="A118" s="7" t="inlineStr">
        <is>
          <t>ADM-MTR-ISB-2024-2113</t>
        </is>
      </c>
      <c r="B118" s="40" t="n">
        <v>45413</v>
      </c>
      <c r="C118" s="7" t="inlineStr">
        <is>
          <t>Islamabad Blue Area</t>
        </is>
      </c>
      <c r="D118" s="7" t="inlineStr">
        <is>
          <t>North</t>
        </is>
      </c>
      <c r="E118" s="7" t="inlineStr">
        <is>
          <t>Motor</t>
        </is>
      </c>
      <c r="F118" s="7" t="inlineStr">
        <is>
          <t>Direct</t>
        </is>
      </c>
      <c r="G118" s="7" t="inlineStr">
        <is>
          <t>Waqar Younis Khan</t>
        </is>
      </c>
      <c r="H118" s="7" t="inlineStr">
        <is>
          <t>Corporate</t>
        </is>
      </c>
      <c r="I118" s="11" t="n">
        <v>28000000</v>
      </c>
      <c r="J118" s="11" t="n">
        <v>770600</v>
      </c>
      <c r="K118" s="11" t="n">
        <v>429829</v>
      </c>
      <c r="L118" s="11" t="n">
        <v>1</v>
      </c>
      <c r="M118" s="7" t="inlineStr">
        <is>
          <t>Renewed</t>
        </is>
      </c>
    </row>
    <row r="119">
      <c r="A119" s="15" t="inlineStr">
        <is>
          <t>ADM-HLT-FSD-2024-2114</t>
        </is>
      </c>
      <c r="B119" s="41" t="n">
        <v>45451</v>
      </c>
      <c r="C119" s="15" t="inlineStr">
        <is>
          <t>Faisalabad</t>
        </is>
      </c>
      <c r="D119" s="15" t="inlineStr">
        <is>
          <t>Central</t>
        </is>
      </c>
      <c r="E119" s="15" t="inlineStr">
        <is>
          <t>Health</t>
        </is>
      </c>
      <c r="F119" s="15" t="inlineStr">
        <is>
          <t>Agency</t>
        </is>
      </c>
      <c r="G119" s="15" t="inlineStr">
        <is>
          <t>Amna Zubair</t>
        </is>
      </c>
      <c r="H119" s="15" t="inlineStr">
        <is>
          <t>Corporate</t>
        </is>
      </c>
      <c r="I119" s="14" t="n">
        <v>19000000</v>
      </c>
      <c r="J119" s="14" t="n">
        <v>179600</v>
      </c>
      <c r="K119" s="14" t="n">
        <v>109197</v>
      </c>
      <c r="L119" s="14" t="n">
        <v>1</v>
      </c>
      <c r="M119" s="15" t="inlineStr">
        <is>
          <t>Lapsed</t>
        </is>
      </c>
    </row>
    <row r="120">
      <c r="A120" s="7" t="inlineStr">
        <is>
          <t>ADM-MSC-MUL-2024-2115</t>
        </is>
      </c>
      <c r="B120" s="40" t="n">
        <v>45488</v>
      </c>
      <c r="C120" s="7" t="inlineStr">
        <is>
          <t>Multan</t>
        </is>
      </c>
      <c r="D120" s="7" t="inlineStr">
        <is>
          <t>Central</t>
        </is>
      </c>
      <c r="E120" s="7" t="inlineStr">
        <is>
          <t>Miscellaneous</t>
        </is>
      </c>
      <c r="F120" s="7" t="inlineStr">
        <is>
          <t>Bancassurance</t>
        </is>
      </c>
      <c r="G120" s="7" t="inlineStr">
        <is>
          <t>Rizwan Ali Soomro</t>
        </is>
      </c>
      <c r="H120" s="7" t="inlineStr">
        <is>
          <t>Individual</t>
        </is>
      </c>
      <c r="I120" s="11" t="n">
        <v>11500000</v>
      </c>
      <c r="J120" s="11" t="n">
        <v>268100</v>
      </c>
      <c r="K120" s="11" t="n">
        <v>402308</v>
      </c>
      <c r="L120" s="11" t="n">
        <v>1</v>
      </c>
      <c r="M120" s="7" t="inlineStr">
        <is>
          <t>Cancelled</t>
        </is>
      </c>
    </row>
    <row r="121">
      <c r="A121" s="15" t="inlineStr">
        <is>
          <t>ADM-MAR-PEW-2024-2116</t>
        </is>
      </c>
      <c r="B121" s="41" t="n">
        <v>45526</v>
      </c>
      <c r="C121" s="15" t="inlineStr">
        <is>
          <t>Peshawar</t>
        </is>
      </c>
      <c r="D121" s="15" t="inlineStr">
        <is>
          <t>North</t>
        </is>
      </c>
      <c r="E121" s="15" t="inlineStr">
        <is>
          <t>Marine Cargo</t>
        </is>
      </c>
      <c r="F121" s="15" t="inlineStr">
        <is>
          <t>Corporate</t>
        </is>
      </c>
      <c r="G121" s="15" t="inlineStr">
        <is>
          <t>Farhan Dar</t>
        </is>
      </c>
      <c r="H121" s="15" t="inlineStr">
        <is>
          <t>Corporate</t>
        </is>
      </c>
      <c r="I121" s="14" t="n">
        <v>6800000</v>
      </c>
      <c r="J121" s="14" t="n">
        <v>192200</v>
      </c>
      <c r="K121" s="14" t="n">
        <v>237922</v>
      </c>
      <c r="L121" s="14" t="n">
        <v>1</v>
      </c>
      <c r="M121" s="15" t="inlineStr">
        <is>
          <t>Active</t>
        </is>
      </c>
    </row>
    <row r="122">
      <c r="A122" s="7" t="inlineStr">
        <is>
          <t>ADM-ENG-QTA-2024-2117</t>
        </is>
      </c>
      <c r="B122" s="40" t="n">
        <v>45536</v>
      </c>
      <c r="C122" s="7" t="inlineStr">
        <is>
          <t>Quetta</t>
        </is>
      </c>
      <c r="D122" s="7" t="inlineStr">
        <is>
          <t>South</t>
        </is>
      </c>
      <c r="E122" s="7" t="inlineStr">
        <is>
          <t>Engineering</t>
        </is>
      </c>
      <c r="F122" s="7" t="inlineStr">
        <is>
          <t>Direct</t>
        </is>
      </c>
      <c r="G122" s="7" t="inlineStr">
        <is>
          <t>Sobia Naz</t>
        </is>
      </c>
      <c r="H122" s="7" t="inlineStr">
        <is>
          <t>Corporate</t>
        </is>
      </c>
      <c r="I122" s="11" t="n">
        <v>1200000</v>
      </c>
      <c r="J122" s="11" t="n">
        <v>8500</v>
      </c>
      <c r="K122" s="11" t="n">
        <v>1655</v>
      </c>
      <c r="L122" s="11" t="n">
        <v>1</v>
      </c>
      <c r="M122" s="7" t="inlineStr">
        <is>
          <t>Active</t>
        </is>
      </c>
    </row>
    <row r="123">
      <c r="A123" s="15" t="inlineStr">
        <is>
          <t>ADM-FIR-HYD-2024-2118</t>
        </is>
      </c>
      <c r="B123" s="41" t="n">
        <v>45573</v>
      </c>
      <c r="C123" s="15" t="inlineStr">
        <is>
          <t>Hyderabad</t>
        </is>
      </c>
      <c r="D123" s="15" t="inlineStr">
        <is>
          <t>South</t>
        </is>
      </c>
      <c r="E123" s="15" t="inlineStr">
        <is>
          <t>Fire &amp; Property</t>
        </is>
      </c>
      <c r="F123" s="15" t="inlineStr">
        <is>
          <t>Agency</t>
        </is>
      </c>
      <c r="G123" s="15" t="inlineStr">
        <is>
          <t>Junaid Akram</t>
        </is>
      </c>
      <c r="H123" s="15" t="inlineStr">
        <is>
          <t>Individual</t>
        </is>
      </c>
      <c r="I123" s="14" t="n">
        <v>3400000</v>
      </c>
      <c r="J123" s="14" t="n">
        <v>49100</v>
      </c>
      <c r="K123" s="14" t="n">
        <v>31206</v>
      </c>
      <c r="L123" s="14" t="n">
        <v>1</v>
      </c>
      <c r="M123" s="15" t="inlineStr">
        <is>
          <t>Renewed</t>
        </is>
      </c>
    </row>
    <row r="124">
      <c r="A124" s="7" t="inlineStr">
        <is>
          <t>ADM-TRV-SKT-2024-2119</t>
        </is>
      </c>
      <c r="B124" s="40" t="n">
        <v>45611</v>
      </c>
      <c r="C124" s="7" t="inlineStr">
        <is>
          <t>Sialkot</t>
        </is>
      </c>
      <c r="D124" s="7" t="inlineStr">
        <is>
          <t>Central</t>
        </is>
      </c>
      <c r="E124" s="7" t="inlineStr">
        <is>
          <t>Travel</t>
        </is>
      </c>
      <c r="F124" s="7" t="inlineStr">
        <is>
          <t>Bancassurance</t>
        </is>
      </c>
      <c r="G124" s="7" t="inlineStr">
        <is>
          <t>Hamid Raza</t>
        </is>
      </c>
      <c r="H124" s="7" t="inlineStr">
        <is>
          <t>Corporate</t>
        </is>
      </c>
      <c r="I124" s="11" t="n">
        <v>72000000</v>
      </c>
      <c r="J124" s="11" t="n">
        <v>586400</v>
      </c>
      <c r="K124" s="11" t="n">
        <v>404374</v>
      </c>
      <c r="L124" s="11" t="n">
        <v>1</v>
      </c>
      <c r="M124" s="7" t="inlineStr">
        <is>
          <t>Lapsed</t>
        </is>
      </c>
    </row>
    <row r="125">
      <c r="A125" s="15" t="inlineStr">
        <is>
          <t>ADM-MTR-RWP-2024-2120</t>
        </is>
      </c>
      <c r="B125" s="41" t="n">
        <v>45648</v>
      </c>
      <c r="C125" s="15" t="inlineStr">
        <is>
          <t>Rawalpindi</t>
        </is>
      </c>
      <c r="D125" s="15" t="inlineStr">
        <is>
          <t>North</t>
        </is>
      </c>
      <c r="E125" s="15" t="inlineStr">
        <is>
          <t>Motor</t>
        </is>
      </c>
      <c r="F125" s="15" t="inlineStr">
        <is>
          <t>Corporate</t>
        </is>
      </c>
      <c r="G125" s="15" t="inlineStr">
        <is>
          <t>Nimra Saleem</t>
        </is>
      </c>
      <c r="H125" s="15" t="inlineStr">
        <is>
          <t>Corporate</t>
        </is>
      </c>
      <c r="I125" s="14" t="n">
        <v>6800000</v>
      </c>
      <c r="J125" s="14" t="n">
        <v>111000</v>
      </c>
      <c r="K125" s="14" t="n">
        <v>91930</v>
      </c>
      <c r="L125" s="14" t="n">
        <v>1</v>
      </c>
      <c r="M125" s="15" t="inlineStr">
        <is>
          <t>Cancelled</t>
        </is>
      </c>
    </row>
    <row r="127">
      <c r="A127" s="9" t="inlineStr">
        <is>
          <t>Table B — Rates for the calculated fields</t>
        </is>
      </c>
    </row>
    <row r="128" ht="30" customHeight="1">
      <c r="A128" s="10" t="inlineStr">
        <is>
          <t>Item</t>
        </is>
      </c>
      <c r="B128" s="10" t="inlineStr">
        <is>
          <t>Rate</t>
        </is>
      </c>
    </row>
    <row r="129">
      <c r="A129" s="7" t="inlineStr">
        <is>
          <t>Standard commission</t>
        </is>
      </c>
      <c r="B129" s="13" t="n">
        <v>0.145</v>
      </c>
    </row>
    <row r="130">
      <c r="A130" s="15" t="inlineStr">
        <is>
          <t>Federal insurance fee</t>
        </is>
      </c>
      <c r="B130" s="17" t="n">
        <v>0.01</v>
      </c>
    </row>
    <row r="131">
      <c r="A131" s="7" t="inlineStr">
        <is>
          <t>Target loss ratio</t>
        </is>
      </c>
      <c r="B131" s="13" t="n">
        <v>0.65</v>
      </c>
    </row>
    <row r="133">
      <c r="A13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67.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Branch Scorecard with ratios inside the pivot</t>
        </is>
      </c>
    </row>
    <row r="3">
      <c r="A3" s="21" t="inlineStr">
        <is>
          <t>Prepared for:</t>
        </is>
      </c>
      <c r="B3" s="22" t="inlineStr">
        <is>
          <t>Regional Head — Central</t>
        </is>
      </c>
    </row>
    <row r="4">
      <c r="A4" s="21" t="inlineStr">
        <is>
          <t>Prepared by:</t>
        </is>
      </c>
      <c r="B4" s="23" t="n"/>
    </row>
    <row r="5">
      <c r="A5" s="21" t="inlineStr">
        <is>
          <t>Reporting date:</t>
        </is>
      </c>
      <c r="B5" s="22" t="inlineStr">
        <is>
          <t>As at reporting date shown on the dataset</t>
        </is>
      </c>
    </row>
    <row r="7" ht="44" customHeight="1">
      <c r="A7" s="24" t="inlineStr">
        <is>
          <t>The scorecard is a pivot with the loss ratio calculated in cells beside it. Every time a Regional Head re-arranges the pivot or applies a filter, the ratio column stops lining up with the rows and the meeting is told a branch has a 340% loss ratio. It has happened in three of the last five monthly calls.</t>
        </is>
      </c>
    </row>
    <row r="9">
      <c r="A9" s="25" t="inlineStr">
        <is>
          <t>Source data: '3.1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Branch Scorecard with ratios inside the pivot</t>
        </is>
      </c>
      <c r="C13" s="38" t="inlineStr">
        <is>
          <t>A pivot scorecard with Branch on rows and Gross Premium, Claims Paid, Policy Count as values, plus Loss Ratio calculated INSIDE the pivot so it survives filtering and re-arrangement. Loss ratio formatted 0.0%.</t>
        </is>
      </c>
      <c r="D13" s="37" t="inlineStr">
        <is>
          <t>Regional Head — Central</t>
        </is>
      </c>
      <c r="E13" s="31" t="n"/>
    </row>
    <row r="14" ht="65" customHeight="1">
      <c r="A14" s="35" t="n">
        <v>2</v>
      </c>
      <c r="B14" s="36" t="inlineStr">
        <is>
          <t>Commission and Net Premium lines for the technical pack</t>
        </is>
      </c>
      <c r="C14" s="38" t="inlineStr">
        <is>
          <t>The scorecard extended with Commission Cost (gross premium at the standard rate) and Net Premium as calculated fields, and an Average Premium per Policy field. Rates taken from the rates table.</t>
        </is>
      </c>
      <c r="D14" s="37" t="inlineStr">
        <is>
          <t>Finance Manager — Technical Accounts</t>
        </is>
      </c>
      <c r="E14" s="31" t="n"/>
    </row>
    <row r="15" ht="52" customHeight="1">
      <c r="A15" s="35" t="n">
        <v>3</v>
      </c>
      <c r="B15" s="36" t="inlineStr">
        <is>
          <t>Transport Risks grouping for the underwriting review</t>
        </is>
      </c>
      <c r="C15" s="38" t="inlineStr">
        <is>
          <t>A product pivot with a calculated item combining Motor and Marine Cargo into a single 'Transport Risks' line, shown alongside the individual lines.</t>
        </is>
      </c>
      <c r="D15" s="37" t="inlineStr">
        <is>
          <t>Chief Underwriting Officer</t>
        </is>
      </c>
      <c r="E15" s="31" t="n"/>
    </row>
    <row r="16" ht="65" customHeight="1">
      <c r="A16" s="35" t="n">
        <v>4</v>
      </c>
      <c r="B16" s="36" t="inlineStr">
        <is>
          <t>Methodology note on the loss ratio definition</t>
        </is>
      </c>
      <c r="C16" s="38" t="inlineStr">
        <is>
          <t>A methodology note explaining why a calculated field gives a different answer from averaging the row-level loss ratios, with both figures for one branch shown as evidence, and a statement of which Adamjee should use.</t>
        </is>
      </c>
      <c r="D16" s="37" t="inlineStr">
        <is>
          <t>Head of Internal Audit</t>
        </is>
      </c>
      <c r="E16" s="31" t="n"/>
    </row>
    <row r="17" ht="52" customHeight="1">
      <c r="A17" s="35" t="n">
        <v>5</v>
      </c>
      <c r="B17" s="36" t="inlineStr">
        <is>
          <t>Calculation documentation for the workbook handover</t>
        </is>
      </c>
      <c r="C17" s="38" t="inlineStr">
        <is>
          <t>The List Formulas output documenting every calculated field and item in the workbook, plus a one-line note on one thing a calculated field cannot do.</t>
        </is>
      </c>
      <c r="D17" s="37" t="inlineStr">
        <is>
          <t>Head of MIS</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68.xml><?xml version="1.0" encoding="utf-8"?>
<worksheet xmlns="http://schemas.openxmlformats.org/spreadsheetml/2006/main">
  <sheetPr>
    <tabColor rgb="001F3864"/>
    <outlinePr summaryBelow="1" summaryRight="1"/>
    <pageSetUpPr/>
  </sheetPr>
  <dimension ref="A1:M127"/>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20" customWidth="1" min="3" max="3"/>
    <col width="11" customWidth="1" min="4" max="4"/>
    <col width="17" customWidth="1" min="5" max="5"/>
    <col width="16" customWidth="1" min="6" max="6"/>
    <col width="20" customWidth="1" min="7" max="7"/>
    <col width="13" customWidth="1" min="8" max="8"/>
    <col width="19" customWidth="1" min="9" max="9"/>
    <col width="20" customWidth="1" min="10" max="10"/>
    <col width="19" customWidth="1" min="11" max="11"/>
    <col width="13" customWidth="1" min="12" max="12"/>
    <col width="14" customWidth="1" min="13" max="13"/>
  </cols>
  <sheetData>
    <row r="1" ht="26" customHeight="1">
      <c r="A1" s="1" t="inlineStr">
        <is>
          <t>Dataset 3.2  —  Grouping Data (Dates by Month/Quarter/Year, Numbers, Text)</t>
        </is>
      </c>
    </row>
    <row r="2" ht="16" customHeight="1">
      <c r="A2" s="2" t="inlineStr">
        <is>
          <t>Session 3: Advanced Pivot Tables, Power Query &amp; What-If Analysis | Part A: Advanced Pivot Tables   |   Adamjee Assurance Company Limited (Pakistan) — training data, figures in PKR</t>
        </is>
      </c>
    </row>
    <row r="4">
      <c r="A4" s="9" t="inlineStr">
        <is>
          <t>Table A — Policy transaction register 2024 (120 rows — the pivot source)</t>
        </is>
      </c>
    </row>
    <row r="5" ht="30" customHeight="1">
      <c r="A5" s="10" t="inlineStr">
        <is>
          <t>Policy No</t>
        </is>
      </c>
      <c r="B5" s="10" t="inlineStr">
        <is>
          <t>Booking Date</t>
        </is>
      </c>
      <c r="C5" s="10" t="inlineStr">
        <is>
          <t>Branch</t>
        </is>
      </c>
      <c r="D5" s="10" t="inlineStr">
        <is>
          <t>Region</t>
        </is>
      </c>
      <c r="E5" s="10" t="inlineStr">
        <is>
          <t>Product</t>
        </is>
      </c>
      <c r="F5" s="10" t="inlineStr">
        <is>
          <t>Channel</t>
        </is>
      </c>
      <c r="G5" s="10" t="inlineStr">
        <is>
          <t>Agent Name</t>
        </is>
      </c>
      <c r="H5" s="10" t="inlineStr">
        <is>
          <t>Client Type</t>
        </is>
      </c>
      <c r="I5" s="10" t="inlineStr">
        <is>
          <t>Sum Insured (PKR)</t>
        </is>
      </c>
      <c r="J5" s="10" t="inlineStr">
        <is>
          <t>Gross Premium (PKR)</t>
        </is>
      </c>
      <c r="K5" s="10" t="inlineStr">
        <is>
          <t>Claims Paid (PKR)</t>
        </is>
      </c>
      <c r="L5" s="10" t="inlineStr">
        <is>
          <t>Policy Count</t>
        </is>
      </c>
      <c r="M5" s="10" t="inlineStr">
        <is>
          <t>Policy Status</t>
        </is>
      </c>
    </row>
    <row r="6">
      <c r="A6" s="7" t="inlineStr">
        <is>
          <t>ADM-MTR-KHI-2024-2001</t>
        </is>
      </c>
      <c r="B6" s="40" t="n">
        <v>45292</v>
      </c>
      <c r="C6" s="7" t="inlineStr">
        <is>
          <t>Karachi Main</t>
        </is>
      </c>
      <c r="D6" s="7" t="inlineStr">
        <is>
          <t>South</t>
        </is>
      </c>
      <c r="E6" s="7" t="inlineStr">
        <is>
          <t>Motor</t>
        </is>
      </c>
      <c r="F6" s="7" t="inlineStr">
        <is>
          <t>Direct</t>
        </is>
      </c>
      <c r="G6" s="7" t="inlineStr">
        <is>
          <t>Tariq Jameel</t>
        </is>
      </c>
      <c r="H6" s="7" t="inlineStr">
        <is>
          <t>Individual</t>
        </is>
      </c>
      <c r="I6" s="11" t="n">
        <v>3400000</v>
      </c>
      <c r="J6" s="11" t="n">
        <v>33200</v>
      </c>
      <c r="K6" s="11" t="n">
        <v>52907</v>
      </c>
      <c r="L6" s="11" t="n">
        <v>1</v>
      </c>
      <c r="M6" s="7" t="inlineStr">
        <is>
          <t>Active</t>
        </is>
      </c>
    </row>
    <row r="7">
      <c r="A7" s="15" t="inlineStr">
        <is>
          <t>ADM-HLT-LHR-2024-2002</t>
        </is>
      </c>
      <c r="B7" s="41" t="n">
        <v>45330</v>
      </c>
      <c r="C7" s="15" t="inlineStr">
        <is>
          <t>Lahore Gulberg</t>
        </is>
      </c>
      <c r="D7" s="15" t="inlineStr">
        <is>
          <t>Central</t>
        </is>
      </c>
      <c r="E7" s="15" t="inlineStr">
        <is>
          <t>Health</t>
        </is>
      </c>
      <c r="F7" s="15" t="inlineStr">
        <is>
          <t>Agency</t>
        </is>
      </c>
      <c r="G7" s="15" t="inlineStr">
        <is>
          <t>Nadia Hassan</t>
        </is>
      </c>
      <c r="H7" s="15" t="inlineStr">
        <is>
          <t>Corporate</t>
        </is>
      </c>
      <c r="I7" s="14" t="n">
        <v>1200000</v>
      </c>
      <c r="J7" s="14" t="n">
        <v>15300</v>
      </c>
      <c r="K7" s="14" t="n">
        <v>3207</v>
      </c>
      <c r="L7" s="14" t="n">
        <v>1</v>
      </c>
      <c r="M7" s="15" t="inlineStr">
        <is>
          <t>Active</t>
        </is>
      </c>
    </row>
    <row r="8">
      <c r="A8" s="7" t="inlineStr">
        <is>
          <t>ADM-MSC-ISB-2024-2003</t>
        </is>
      </c>
      <c r="B8" s="40" t="n">
        <v>45366</v>
      </c>
      <c r="C8" s="7" t="inlineStr">
        <is>
          <t>Islamabad Blue Area</t>
        </is>
      </c>
      <c r="D8" s="7" t="inlineStr">
        <is>
          <t>North</t>
        </is>
      </c>
      <c r="E8" s="7" t="inlineStr">
        <is>
          <t>Miscellaneous</t>
        </is>
      </c>
      <c r="F8" s="7" t="inlineStr">
        <is>
          <t>Bancassurance</t>
        </is>
      </c>
      <c r="G8" s="7" t="inlineStr">
        <is>
          <t>Salman Shah</t>
        </is>
      </c>
      <c r="H8" s="7" t="inlineStr">
        <is>
          <t>Corporate</t>
        </is>
      </c>
      <c r="I8" s="11" t="n">
        <v>11500000</v>
      </c>
      <c r="J8" s="11" t="n">
        <v>206100</v>
      </c>
      <c r="K8" s="11" t="n">
        <v>260673</v>
      </c>
      <c r="L8" s="11" t="n">
        <v>1</v>
      </c>
      <c r="M8" s="7" t="inlineStr">
        <is>
          <t>Renewed</t>
        </is>
      </c>
    </row>
    <row r="9">
      <c r="A9" s="15" t="inlineStr">
        <is>
          <t>ADM-MAR-FSD-2024-2004</t>
        </is>
      </c>
      <c r="B9" s="41" t="n">
        <v>45404</v>
      </c>
      <c r="C9" s="15" t="inlineStr">
        <is>
          <t>Faisalabad</t>
        </is>
      </c>
      <c r="D9" s="15" t="inlineStr">
        <is>
          <t>Central</t>
        </is>
      </c>
      <c r="E9" s="15" t="inlineStr">
        <is>
          <t>Marine Cargo</t>
        </is>
      </c>
      <c r="F9" s="15" t="inlineStr">
        <is>
          <t>Corporate</t>
        </is>
      </c>
      <c r="G9" s="15" t="inlineStr">
        <is>
          <t>Komal Bashir</t>
        </is>
      </c>
      <c r="H9" s="15" t="inlineStr">
        <is>
          <t>Individual</t>
        </is>
      </c>
      <c r="I9" s="14" t="n">
        <v>47000000</v>
      </c>
      <c r="J9" s="14" t="n">
        <v>1335500</v>
      </c>
      <c r="K9" s="14" t="n">
        <v>125902</v>
      </c>
      <c r="L9" s="14" t="n">
        <v>1</v>
      </c>
      <c r="M9" s="15" t="inlineStr">
        <is>
          <t>Lapsed</t>
        </is>
      </c>
    </row>
    <row r="10">
      <c r="A10" s="7" t="inlineStr">
        <is>
          <t>ADM-ENG-MUL-2024-2005</t>
        </is>
      </c>
      <c r="B10" s="40" t="n">
        <v>45413</v>
      </c>
      <c r="C10" s="7" t="inlineStr">
        <is>
          <t>Multan</t>
        </is>
      </c>
      <c r="D10" s="7" t="inlineStr">
        <is>
          <t>Central</t>
        </is>
      </c>
      <c r="E10" s="7" t="inlineStr">
        <is>
          <t>Engineering</t>
        </is>
      </c>
      <c r="F10" s="7" t="inlineStr">
        <is>
          <t>Direct</t>
        </is>
      </c>
      <c r="G10" s="7" t="inlineStr">
        <is>
          <t>Waqar Younis Khan</t>
        </is>
      </c>
      <c r="H10" s="7" t="inlineStr">
        <is>
          <t>Corporate</t>
        </is>
      </c>
      <c r="I10" s="11" t="n">
        <v>1200000</v>
      </c>
      <c r="J10" s="11" t="n">
        <v>14500</v>
      </c>
      <c r="K10" s="11" t="n">
        <v>20595</v>
      </c>
      <c r="L10" s="11" t="n">
        <v>1</v>
      </c>
      <c r="M10" s="7" t="inlineStr">
        <is>
          <t>Cancelled</t>
        </is>
      </c>
    </row>
    <row r="11">
      <c r="A11" s="15" t="inlineStr">
        <is>
          <t>ADM-FIR-PEW-2024-2006</t>
        </is>
      </c>
      <c r="B11" s="41" t="n">
        <v>45451</v>
      </c>
      <c r="C11" s="15" t="inlineStr">
        <is>
          <t>Peshawar</t>
        </is>
      </c>
      <c r="D11" s="15" t="inlineStr">
        <is>
          <t>North</t>
        </is>
      </c>
      <c r="E11" s="15" t="inlineStr">
        <is>
          <t>Fire &amp; Property</t>
        </is>
      </c>
      <c r="F11" s="15" t="inlineStr">
        <is>
          <t>Agency</t>
        </is>
      </c>
      <c r="G11" s="15" t="inlineStr">
        <is>
          <t>Amna Zubair</t>
        </is>
      </c>
      <c r="H11" s="15" t="inlineStr">
        <is>
          <t>Corporate</t>
        </is>
      </c>
      <c r="I11" s="14" t="n">
        <v>72000000</v>
      </c>
      <c r="J11" s="14" t="n">
        <v>1519000</v>
      </c>
      <c r="K11" s="14" t="n">
        <v>2506397</v>
      </c>
      <c r="L11" s="14" t="n">
        <v>1</v>
      </c>
      <c r="M11" s="15" t="inlineStr">
        <is>
          <t>Active</t>
        </is>
      </c>
    </row>
    <row r="12">
      <c r="A12" s="7" t="inlineStr">
        <is>
          <t>ADM-TRV-QTA-2024-2007</t>
        </is>
      </c>
      <c r="B12" s="40" t="n">
        <v>45488</v>
      </c>
      <c r="C12" s="7" t="inlineStr">
        <is>
          <t>Quetta</t>
        </is>
      </c>
      <c r="D12" s="7" t="inlineStr">
        <is>
          <t>South</t>
        </is>
      </c>
      <c r="E12" s="7" t="inlineStr">
        <is>
          <t>Travel</t>
        </is>
      </c>
      <c r="F12" s="7" t="inlineStr">
        <is>
          <t>Bancassurance</t>
        </is>
      </c>
      <c r="G12" s="7" t="inlineStr">
        <is>
          <t>Rizwan Ali Soomro</t>
        </is>
      </c>
      <c r="H12" s="7" t="inlineStr">
        <is>
          <t>Individual</t>
        </is>
      </c>
      <c r="I12" s="11" t="n">
        <v>1200000</v>
      </c>
      <c r="J12" s="11" t="n">
        <v>23900</v>
      </c>
      <c r="K12" s="11" t="n">
        <v>3819</v>
      </c>
      <c r="L12" s="11" t="n">
        <v>1</v>
      </c>
      <c r="M12" s="7" t="inlineStr">
        <is>
          <t>Active</t>
        </is>
      </c>
    </row>
    <row r="13">
      <c r="A13" s="15" t="inlineStr">
        <is>
          <t>ADM-MTR-HYD-2024-2008</t>
        </is>
      </c>
      <c r="B13" s="41" t="n">
        <v>45526</v>
      </c>
      <c r="C13" s="15" t="inlineStr">
        <is>
          <t>Hyderabad</t>
        </is>
      </c>
      <c r="D13" s="15" t="inlineStr">
        <is>
          <t>South</t>
        </is>
      </c>
      <c r="E13" s="15" t="inlineStr">
        <is>
          <t>Motor</t>
        </is>
      </c>
      <c r="F13" s="15" t="inlineStr">
        <is>
          <t>Corporate</t>
        </is>
      </c>
      <c r="G13" s="15" t="inlineStr">
        <is>
          <t>Farhan Dar</t>
        </is>
      </c>
      <c r="H13" s="15" t="inlineStr">
        <is>
          <t>Corporate</t>
        </is>
      </c>
      <c r="I13" s="14" t="n">
        <v>11500000</v>
      </c>
      <c r="J13" s="14" t="n">
        <v>204900</v>
      </c>
      <c r="K13" s="14" t="n">
        <v>293808</v>
      </c>
      <c r="L13" s="14" t="n">
        <v>1</v>
      </c>
      <c r="M13" s="15" t="inlineStr">
        <is>
          <t>Renewed</t>
        </is>
      </c>
    </row>
    <row r="14">
      <c r="A14" s="7" t="inlineStr">
        <is>
          <t>ADM-HLT-SKT-2024-2009</t>
        </is>
      </c>
      <c r="B14" s="40" t="n">
        <v>45536</v>
      </c>
      <c r="C14" s="7" t="inlineStr">
        <is>
          <t>Sialkot</t>
        </is>
      </c>
      <c r="D14" s="7" t="inlineStr">
        <is>
          <t>Central</t>
        </is>
      </c>
      <c r="E14" s="7" t="inlineStr">
        <is>
          <t>Health</t>
        </is>
      </c>
      <c r="F14" s="7" t="inlineStr">
        <is>
          <t>Direct</t>
        </is>
      </c>
      <c r="G14" s="7" t="inlineStr">
        <is>
          <t>Sobia Naz</t>
        </is>
      </c>
      <c r="H14" s="7" t="inlineStr">
        <is>
          <t>Corporate</t>
        </is>
      </c>
      <c r="I14" s="11" t="n">
        <v>6800000</v>
      </c>
      <c r="J14" s="11" t="n">
        <v>145900</v>
      </c>
      <c r="K14" s="11" t="n">
        <v>101845</v>
      </c>
      <c r="L14" s="11" t="n">
        <v>1</v>
      </c>
      <c r="M14" s="7" t="inlineStr">
        <is>
          <t>Lapsed</t>
        </is>
      </c>
    </row>
    <row r="15">
      <c r="A15" s="15" t="inlineStr">
        <is>
          <t>ADM-MSC-RWP-2024-2010</t>
        </is>
      </c>
      <c r="B15" s="41" t="n">
        <v>45573</v>
      </c>
      <c r="C15" s="15" t="inlineStr">
        <is>
          <t>Rawalpindi</t>
        </is>
      </c>
      <c r="D15" s="15" t="inlineStr">
        <is>
          <t>North</t>
        </is>
      </c>
      <c r="E15" s="15" t="inlineStr">
        <is>
          <t>Miscellaneous</t>
        </is>
      </c>
      <c r="F15" s="15" t="inlineStr">
        <is>
          <t>Agency</t>
        </is>
      </c>
      <c r="G15" s="15" t="inlineStr">
        <is>
          <t>Junaid Akram</t>
        </is>
      </c>
      <c r="H15" s="15" t="inlineStr">
        <is>
          <t>Individual</t>
        </is>
      </c>
      <c r="I15" s="14" t="n">
        <v>1200000</v>
      </c>
      <c r="J15" s="14" t="n">
        <v>20000</v>
      </c>
      <c r="K15" s="14" t="n">
        <v>15603</v>
      </c>
      <c r="L15" s="14" t="n">
        <v>1</v>
      </c>
      <c r="M15" s="15" t="inlineStr">
        <is>
          <t>Cancelled</t>
        </is>
      </c>
    </row>
    <row r="16">
      <c r="A16" s="7" t="inlineStr">
        <is>
          <t>ADM-MAR-KHI-2024-2011</t>
        </is>
      </c>
      <c r="B16" s="40" t="n">
        <v>45611</v>
      </c>
      <c r="C16" s="7" t="inlineStr">
        <is>
          <t>Karachi Main</t>
        </is>
      </c>
      <c r="D16" s="7" t="inlineStr">
        <is>
          <t>South</t>
        </is>
      </c>
      <c r="E16" s="7" t="inlineStr">
        <is>
          <t>Marine Cargo</t>
        </is>
      </c>
      <c r="F16" s="7" t="inlineStr">
        <is>
          <t>Bancassurance</t>
        </is>
      </c>
      <c r="G16" s="7" t="inlineStr">
        <is>
          <t>Hamid Raza</t>
        </is>
      </c>
      <c r="H16" s="7" t="inlineStr">
        <is>
          <t>Corporate</t>
        </is>
      </c>
      <c r="I16" s="11" t="n">
        <v>47000000</v>
      </c>
      <c r="J16" s="11" t="n">
        <v>716000</v>
      </c>
      <c r="K16" s="11" t="n">
        <v>109689</v>
      </c>
      <c r="L16" s="11" t="n">
        <v>1</v>
      </c>
      <c r="M16" s="7" t="inlineStr">
        <is>
          <t>Active</t>
        </is>
      </c>
    </row>
    <row r="17">
      <c r="A17" s="15" t="inlineStr">
        <is>
          <t>ADM-ENG-LHR-2024-2012</t>
        </is>
      </c>
      <c r="B17" s="41" t="n">
        <v>45648</v>
      </c>
      <c r="C17" s="15" t="inlineStr">
        <is>
          <t>Lahore Gulberg</t>
        </is>
      </c>
      <c r="D17" s="15" t="inlineStr">
        <is>
          <t>Central</t>
        </is>
      </c>
      <c r="E17" s="15" t="inlineStr">
        <is>
          <t>Engineering</t>
        </is>
      </c>
      <c r="F17" s="15" t="inlineStr">
        <is>
          <t>Corporate</t>
        </is>
      </c>
      <c r="G17" s="15" t="inlineStr">
        <is>
          <t>Nimra Saleem</t>
        </is>
      </c>
      <c r="H17" s="15" t="inlineStr">
        <is>
          <t>Corporate</t>
        </is>
      </c>
      <c r="I17" s="14" t="n">
        <v>28000000</v>
      </c>
      <c r="J17" s="14" t="n">
        <v>722600</v>
      </c>
      <c r="K17" s="14" t="n">
        <v>919063</v>
      </c>
      <c r="L17" s="14" t="n">
        <v>1</v>
      </c>
      <c r="M17" s="15" t="inlineStr">
        <is>
          <t>Active</t>
        </is>
      </c>
    </row>
    <row r="18">
      <c r="A18" s="7" t="inlineStr">
        <is>
          <t>ADM-FIR-ISB-2024-2013</t>
        </is>
      </c>
      <c r="B18" s="40" t="n">
        <v>45292</v>
      </c>
      <c r="C18" s="7" t="inlineStr">
        <is>
          <t>Islamabad Blue Area</t>
        </is>
      </c>
      <c r="D18" s="7" t="inlineStr">
        <is>
          <t>North</t>
        </is>
      </c>
      <c r="E18" s="7" t="inlineStr">
        <is>
          <t>Fire &amp; Property</t>
        </is>
      </c>
      <c r="F18" s="7" t="inlineStr">
        <is>
          <t>Direct</t>
        </is>
      </c>
      <c r="G18" s="7" t="inlineStr">
        <is>
          <t>Tariq Jameel</t>
        </is>
      </c>
      <c r="H18" s="7" t="inlineStr">
        <is>
          <t>Individual</t>
        </is>
      </c>
      <c r="I18" s="11" t="n">
        <v>19000000</v>
      </c>
      <c r="J18" s="11" t="n">
        <v>472900</v>
      </c>
      <c r="K18" s="11" t="n">
        <v>891308</v>
      </c>
      <c r="L18" s="11" t="n">
        <v>1</v>
      </c>
      <c r="M18" s="7" t="inlineStr">
        <is>
          <t>Renewed</t>
        </is>
      </c>
    </row>
    <row r="19">
      <c r="A19" s="15" t="inlineStr">
        <is>
          <t>ADM-TRV-FSD-2024-2014</t>
        </is>
      </c>
      <c r="B19" s="41" t="n">
        <v>45330</v>
      </c>
      <c r="C19" s="15" t="inlineStr">
        <is>
          <t>Faisalabad</t>
        </is>
      </c>
      <c r="D19" s="15" t="inlineStr">
        <is>
          <t>Central</t>
        </is>
      </c>
      <c r="E19" s="15" t="inlineStr">
        <is>
          <t>Travel</t>
        </is>
      </c>
      <c r="F19" s="15" t="inlineStr">
        <is>
          <t>Agency</t>
        </is>
      </c>
      <c r="G19" s="15" t="inlineStr">
        <is>
          <t>Nadia Hassan</t>
        </is>
      </c>
      <c r="H19" s="15" t="inlineStr">
        <is>
          <t>Corporate</t>
        </is>
      </c>
      <c r="I19" s="14" t="n">
        <v>3400000</v>
      </c>
      <c r="J19" s="14" t="n">
        <v>66300</v>
      </c>
      <c r="K19" s="14" t="n">
        <v>114579</v>
      </c>
      <c r="L19" s="14" t="n">
        <v>1</v>
      </c>
      <c r="M19" s="15" t="inlineStr">
        <is>
          <t>Lapsed</t>
        </is>
      </c>
    </row>
    <row r="20">
      <c r="A20" s="7" t="inlineStr">
        <is>
          <t>ADM-MTR-MUL-2024-2015</t>
        </is>
      </c>
      <c r="B20" s="40" t="n">
        <v>45366</v>
      </c>
      <c r="C20" s="7" t="inlineStr">
        <is>
          <t>Multan</t>
        </is>
      </c>
      <c r="D20" s="7" t="inlineStr">
        <is>
          <t>Central</t>
        </is>
      </c>
      <c r="E20" s="7" t="inlineStr">
        <is>
          <t>Motor</t>
        </is>
      </c>
      <c r="F20" s="7" t="inlineStr">
        <is>
          <t>Bancassurance</t>
        </is>
      </c>
      <c r="G20" s="7" t="inlineStr">
        <is>
          <t>Salman Shah</t>
        </is>
      </c>
      <c r="H20" s="7" t="inlineStr">
        <is>
          <t>Corporate</t>
        </is>
      </c>
      <c r="I20" s="11" t="n">
        <v>28000000</v>
      </c>
      <c r="J20" s="11" t="n">
        <v>502000</v>
      </c>
      <c r="K20" s="11" t="n">
        <v>218330</v>
      </c>
      <c r="L20" s="11" t="n">
        <v>1</v>
      </c>
      <c r="M20" s="7" t="inlineStr">
        <is>
          <t>Cancelled</t>
        </is>
      </c>
    </row>
    <row r="21">
      <c r="A21" s="15" t="inlineStr">
        <is>
          <t>ADM-HLT-PEW-2024-2016</t>
        </is>
      </c>
      <c r="B21" s="41" t="n">
        <v>45404</v>
      </c>
      <c r="C21" s="15" t="inlineStr">
        <is>
          <t>Peshawar</t>
        </is>
      </c>
      <c r="D21" s="15" t="inlineStr">
        <is>
          <t>North</t>
        </is>
      </c>
      <c r="E21" s="15" t="inlineStr">
        <is>
          <t>Health</t>
        </is>
      </c>
      <c r="F21" s="15" t="inlineStr">
        <is>
          <t>Corporate</t>
        </is>
      </c>
      <c r="G21" s="15" t="inlineStr">
        <is>
          <t>Komal Bashir</t>
        </is>
      </c>
      <c r="H21" s="15" t="inlineStr">
        <is>
          <t>Individual</t>
        </is>
      </c>
      <c r="I21" s="14" t="n">
        <v>47000000</v>
      </c>
      <c r="J21" s="14" t="n">
        <v>1011100</v>
      </c>
      <c r="K21" s="14" t="n">
        <v>1308447</v>
      </c>
      <c r="L21" s="14" t="n">
        <v>1</v>
      </c>
      <c r="M21" s="15" t="inlineStr">
        <is>
          <t>Active</t>
        </is>
      </c>
    </row>
    <row r="22">
      <c r="A22" s="7" t="inlineStr">
        <is>
          <t>ADM-MSC-QTA-2024-2017</t>
        </is>
      </c>
      <c r="B22" s="40" t="n">
        <v>45413</v>
      </c>
      <c r="C22" s="7" t="inlineStr">
        <is>
          <t>Quetta</t>
        </is>
      </c>
      <c r="D22" s="7" t="inlineStr">
        <is>
          <t>South</t>
        </is>
      </c>
      <c r="E22" s="7" t="inlineStr">
        <is>
          <t>Miscellaneous</t>
        </is>
      </c>
      <c r="F22" s="7" t="inlineStr">
        <is>
          <t>Direct</t>
        </is>
      </c>
      <c r="G22" s="7" t="inlineStr">
        <is>
          <t>Waqar Younis Khan</t>
        </is>
      </c>
      <c r="H22" s="7" t="inlineStr">
        <is>
          <t>Corporate</t>
        </is>
      </c>
      <c r="I22" s="11" t="n">
        <v>28000000</v>
      </c>
      <c r="J22" s="11" t="n">
        <v>240800</v>
      </c>
      <c r="K22" s="11" t="n">
        <v>175880</v>
      </c>
      <c r="L22" s="11" t="n">
        <v>1</v>
      </c>
      <c r="M22" s="7" t="inlineStr">
        <is>
          <t>Active</t>
        </is>
      </c>
    </row>
    <row r="23">
      <c r="A23" s="15" t="inlineStr">
        <is>
          <t>ADM-MAR-HYD-2024-2018</t>
        </is>
      </c>
      <c r="B23" s="41" t="n">
        <v>45451</v>
      </c>
      <c r="C23" s="15" t="inlineStr">
        <is>
          <t>Hyderabad</t>
        </is>
      </c>
      <c r="D23" s="15" t="inlineStr">
        <is>
          <t>South</t>
        </is>
      </c>
      <c r="E23" s="15" t="inlineStr">
        <is>
          <t>Marine Cargo</t>
        </is>
      </c>
      <c r="F23" s="15" t="inlineStr">
        <is>
          <t>Agency</t>
        </is>
      </c>
      <c r="G23" s="15" t="inlineStr">
        <is>
          <t>Amna Zubair</t>
        </is>
      </c>
      <c r="H23" s="15" t="inlineStr">
        <is>
          <t>Corporate</t>
        </is>
      </c>
      <c r="I23" s="14" t="n">
        <v>6800000</v>
      </c>
      <c r="J23" s="14" t="n">
        <v>191900</v>
      </c>
      <c r="K23" s="14" t="n">
        <v>307821</v>
      </c>
      <c r="L23" s="14" t="n">
        <v>1</v>
      </c>
      <c r="M23" s="15" t="inlineStr">
        <is>
          <t>Renewed</t>
        </is>
      </c>
    </row>
    <row r="24">
      <c r="A24" s="7" t="inlineStr">
        <is>
          <t>ADM-ENG-SKT-2024-2019</t>
        </is>
      </c>
      <c r="B24" s="40" t="n">
        <v>45488</v>
      </c>
      <c r="C24" s="7" t="inlineStr">
        <is>
          <t>Sialkot</t>
        </is>
      </c>
      <c r="D24" s="7" t="inlineStr">
        <is>
          <t>Central</t>
        </is>
      </c>
      <c r="E24" s="7" t="inlineStr">
        <is>
          <t>Engineering</t>
        </is>
      </c>
      <c r="F24" s="7" t="inlineStr">
        <is>
          <t>Bancassurance</t>
        </is>
      </c>
      <c r="G24" s="7" t="inlineStr">
        <is>
          <t>Rizwan Ali Soomro</t>
        </is>
      </c>
      <c r="H24" s="7" t="inlineStr">
        <is>
          <t>Individual</t>
        </is>
      </c>
      <c r="I24" s="11" t="n">
        <v>28000000</v>
      </c>
      <c r="J24" s="11" t="n">
        <v>576800</v>
      </c>
      <c r="K24" s="11" t="n">
        <v>942646</v>
      </c>
      <c r="L24" s="11" t="n">
        <v>1</v>
      </c>
      <c r="M24" s="7" t="inlineStr">
        <is>
          <t>Lapsed</t>
        </is>
      </c>
    </row>
    <row r="25">
      <c r="A25" s="15" t="inlineStr">
        <is>
          <t>ADM-FIR-RWP-2024-2020</t>
        </is>
      </c>
      <c r="B25" s="41" t="n">
        <v>45526</v>
      </c>
      <c r="C25" s="15" t="inlineStr">
        <is>
          <t>Rawalpindi</t>
        </is>
      </c>
      <c r="D25" s="15" t="inlineStr">
        <is>
          <t>North</t>
        </is>
      </c>
      <c r="E25" s="15" t="inlineStr">
        <is>
          <t>Fire &amp; Property</t>
        </is>
      </c>
      <c r="F25" s="15" t="inlineStr">
        <is>
          <t>Corporate</t>
        </is>
      </c>
      <c r="G25" s="15" t="inlineStr">
        <is>
          <t>Farhan Dar</t>
        </is>
      </c>
      <c r="H25" s="15" t="inlineStr">
        <is>
          <t>Corporate</t>
        </is>
      </c>
      <c r="I25" s="14" t="n">
        <v>3400000</v>
      </c>
      <c r="J25" s="14" t="n">
        <v>36800</v>
      </c>
      <c r="K25" s="14" t="n">
        <v>46076</v>
      </c>
      <c r="L25" s="14" t="n">
        <v>1</v>
      </c>
      <c r="M25" s="15" t="inlineStr">
        <is>
          <t>Cancelled</t>
        </is>
      </c>
    </row>
    <row r="26">
      <c r="A26" s="7" t="inlineStr">
        <is>
          <t>ADM-TRV-KHI-2024-2021</t>
        </is>
      </c>
      <c r="B26" s="40" t="n">
        <v>45536</v>
      </c>
      <c r="C26" s="7" t="inlineStr">
        <is>
          <t>Karachi Main</t>
        </is>
      </c>
      <c r="D26" s="7" t="inlineStr">
        <is>
          <t>South</t>
        </is>
      </c>
      <c r="E26" s="7" t="inlineStr">
        <is>
          <t>Travel</t>
        </is>
      </c>
      <c r="F26" s="7" t="inlineStr">
        <is>
          <t>Direct</t>
        </is>
      </c>
      <c r="G26" s="7" t="inlineStr">
        <is>
          <t>Sobia Naz</t>
        </is>
      </c>
      <c r="H26" s="7" t="inlineStr">
        <is>
          <t>Corporate</t>
        </is>
      </c>
      <c r="I26" s="11" t="n">
        <v>19000000</v>
      </c>
      <c r="J26" s="11" t="n">
        <v>161800</v>
      </c>
      <c r="K26" s="11" t="n">
        <v>221138</v>
      </c>
      <c r="L26" s="11" t="n">
        <v>1</v>
      </c>
      <c r="M26" s="7" t="inlineStr">
        <is>
          <t>Active</t>
        </is>
      </c>
    </row>
    <row r="27">
      <c r="A27" s="15" t="inlineStr">
        <is>
          <t>ADM-MTR-LHR-2024-2022</t>
        </is>
      </c>
      <c r="B27" s="41" t="n">
        <v>45573</v>
      </c>
      <c r="C27" s="15" t="inlineStr">
        <is>
          <t>Lahore Gulberg</t>
        </is>
      </c>
      <c r="D27" s="15" t="inlineStr">
        <is>
          <t>Central</t>
        </is>
      </c>
      <c r="E27" s="15" t="inlineStr">
        <is>
          <t>Motor</t>
        </is>
      </c>
      <c r="F27" s="15" t="inlineStr">
        <is>
          <t>Agency</t>
        </is>
      </c>
      <c r="G27" s="15" t="inlineStr">
        <is>
          <t>Junaid Akram</t>
        </is>
      </c>
      <c r="H27" s="15" t="inlineStr">
        <is>
          <t>Individual</t>
        </is>
      </c>
      <c r="I27" s="14" t="n">
        <v>72000000</v>
      </c>
      <c r="J27" s="14" t="n">
        <v>1055500</v>
      </c>
      <c r="K27" s="14" t="n">
        <v>844771</v>
      </c>
      <c r="L27" s="14" t="n">
        <v>1</v>
      </c>
      <c r="M27" s="15" t="inlineStr">
        <is>
          <t>Active</t>
        </is>
      </c>
    </row>
    <row r="28">
      <c r="A28" s="7" t="inlineStr">
        <is>
          <t>ADM-HLT-ISB-2024-2023</t>
        </is>
      </c>
      <c r="B28" s="40" t="n">
        <v>45611</v>
      </c>
      <c r="C28" s="7" t="inlineStr">
        <is>
          <t>Islamabad Blue Area</t>
        </is>
      </c>
      <c r="D28" s="7" t="inlineStr">
        <is>
          <t>North</t>
        </is>
      </c>
      <c r="E28" s="7" t="inlineStr">
        <is>
          <t>Health</t>
        </is>
      </c>
      <c r="F28" s="7" t="inlineStr">
        <is>
          <t>Bancassurance</t>
        </is>
      </c>
      <c r="G28" s="7" t="inlineStr">
        <is>
          <t>Hamid Raza</t>
        </is>
      </c>
      <c r="H28" s="7" t="inlineStr">
        <is>
          <t>Corporate</t>
        </is>
      </c>
      <c r="I28" s="11" t="n">
        <v>1200000</v>
      </c>
      <c r="J28" s="11" t="n">
        <v>6400</v>
      </c>
      <c r="K28" s="11" t="n">
        <v>498</v>
      </c>
      <c r="L28" s="11" t="n">
        <v>1</v>
      </c>
      <c r="M28" s="7" t="inlineStr">
        <is>
          <t>Renewed</t>
        </is>
      </c>
    </row>
    <row r="29">
      <c r="A29" s="15" t="inlineStr">
        <is>
          <t>ADM-MSC-FSD-2024-2024</t>
        </is>
      </c>
      <c r="B29" s="41" t="n">
        <v>45648</v>
      </c>
      <c r="C29" s="15" t="inlineStr">
        <is>
          <t>Faisalabad</t>
        </is>
      </c>
      <c r="D29" s="15" t="inlineStr">
        <is>
          <t>Central</t>
        </is>
      </c>
      <c r="E29" s="15" t="inlineStr">
        <is>
          <t>Miscellaneous</t>
        </is>
      </c>
      <c r="F29" s="15" t="inlineStr">
        <is>
          <t>Corporate</t>
        </is>
      </c>
      <c r="G29" s="15" t="inlineStr">
        <is>
          <t>Nimra Saleem</t>
        </is>
      </c>
      <c r="H29" s="15" t="inlineStr">
        <is>
          <t>Corporate</t>
        </is>
      </c>
      <c r="I29" s="14" t="n">
        <v>1200000</v>
      </c>
      <c r="J29" s="14" t="n">
        <v>33200</v>
      </c>
      <c r="K29" s="14" t="n">
        <v>32745</v>
      </c>
      <c r="L29" s="14" t="n">
        <v>1</v>
      </c>
      <c r="M29" s="15" t="inlineStr">
        <is>
          <t>Lapsed</t>
        </is>
      </c>
    </row>
    <row r="30">
      <c r="A30" s="7" t="inlineStr">
        <is>
          <t>ADM-MAR-MUL-2024-2025</t>
        </is>
      </c>
      <c r="B30" s="40" t="n">
        <v>45292</v>
      </c>
      <c r="C30" s="7" t="inlineStr">
        <is>
          <t>Multan</t>
        </is>
      </c>
      <c r="D30" s="7" t="inlineStr">
        <is>
          <t>Central</t>
        </is>
      </c>
      <c r="E30" s="7" t="inlineStr">
        <is>
          <t>Marine Cargo</t>
        </is>
      </c>
      <c r="F30" s="7" t="inlineStr">
        <is>
          <t>Direct</t>
        </is>
      </c>
      <c r="G30" s="7" t="inlineStr">
        <is>
          <t>Tariq Jameel</t>
        </is>
      </c>
      <c r="H30" s="7" t="inlineStr">
        <is>
          <t>Individual</t>
        </is>
      </c>
      <c r="I30" s="11" t="n">
        <v>11500000</v>
      </c>
      <c r="J30" s="11" t="n">
        <v>208500</v>
      </c>
      <c r="K30" s="11" t="n">
        <v>71918</v>
      </c>
      <c r="L30" s="11" t="n">
        <v>1</v>
      </c>
      <c r="M30" s="7" t="inlineStr">
        <is>
          <t>Cancelled</t>
        </is>
      </c>
    </row>
    <row r="31">
      <c r="A31" s="15" t="inlineStr">
        <is>
          <t>ADM-ENG-PEW-2024-2026</t>
        </is>
      </c>
      <c r="B31" s="41" t="n">
        <v>45330</v>
      </c>
      <c r="C31" s="15" t="inlineStr">
        <is>
          <t>Peshawar</t>
        </is>
      </c>
      <c r="D31" s="15" t="inlineStr">
        <is>
          <t>North</t>
        </is>
      </c>
      <c r="E31" s="15" t="inlineStr">
        <is>
          <t>Engineering</t>
        </is>
      </c>
      <c r="F31" s="15" t="inlineStr">
        <is>
          <t>Agency</t>
        </is>
      </c>
      <c r="G31" s="15" t="inlineStr">
        <is>
          <t>Nadia Hassan</t>
        </is>
      </c>
      <c r="H31" s="15" t="inlineStr">
        <is>
          <t>Corporate</t>
        </is>
      </c>
      <c r="I31" s="14" t="n">
        <v>1200000</v>
      </c>
      <c r="J31" s="14" t="n">
        <v>29100</v>
      </c>
      <c r="K31" s="14" t="n">
        <v>4151</v>
      </c>
      <c r="L31" s="14" t="n">
        <v>1</v>
      </c>
      <c r="M31" s="15" t="inlineStr">
        <is>
          <t>Active</t>
        </is>
      </c>
    </row>
    <row r="32">
      <c r="A32" s="7" t="inlineStr">
        <is>
          <t>ADM-FIR-QTA-2024-2027</t>
        </is>
      </c>
      <c r="B32" s="40" t="n">
        <v>45366</v>
      </c>
      <c r="C32" s="7" t="inlineStr">
        <is>
          <t>Quetta</t>
        </is>
      </c>
      <c r="D32" s="7" t="inlineStr">
        <is>
          <t>South</t>
        </is>
      </c>
      <c r="E32" s="7" t="inlineStr">
        <is>
          <t>Fire &amp; Property</t>
        </is>
      </c>
      <c r="F32" s="7" t="inlineStr">
        <is>
          <t>Bancassurance</t>
        </is>
      </c>
      <c r="G32" s="7" t="inlineStr">
        <is>
          <t>Salman Shah</t>
        </is>
      </c>
      <c r="H32" s="7" t="inlineStr">
        <is>
          <t>Corporate</t>
        </is>
      </c>
      <c r="I32" s="11" t="n">
        <v>1200000</v>
      </c>
      <c r="J32" s="11" t="n">
        <v>9500</v>
      </c>
      <c r="K32" s="11" t="n">
        <v>12702</v>
      </c>
      <c r="L32" s="11" t="n">
        <v>1</v>
      </c>
      <c r="M32" s="7" t="inlineStr">
        <is>
          <t>Active</t>
        </is>
      </c>
    </row>
    <row r="33">
      <c r="A33" s="15" t="inlineStr">
        <is>
          <t>ADM-TRV-HYD-2024-2028</t>
        </is>
      </c>
      <c r="B33" s="41" t="n">
        <v>45404</v>
      </c>
      <c r="C33" s="15" t="inlineStr">
        <is>
          <t>Hyderabad</t>
        </is>
      </c>
      <c r="D33" s="15" t="inlineStr">
        <is>
          <t>South</t>
        </is>
      </c>
      <c r="E33" s="15" t="inlineStr">
        <is>
          <t>Travel</t>
        </is>
      </c>
      <c r="F33" s="15" t="inlineStr">
        <is>
          <t>Corporate</t>
        </is>
      </c>
      <c r="G33" s="15" t="inlineStr">
        <is>
          <t>Komal Bashir</t>
        </is>
      </c>
      <c r="H33" s="15" t="inlineStr">
        <is>
          <t>Individual</t>
        </is>
      </c>
      <c r="I33" s="14" t="n">
        <v>19000000</v>
      </c>
      <c r="J33" s="14" t="n">
        <v>477300</v>
      </c>
      <c r="K33" s="14" t="n">
        <v>729502</v>
      </c>
      <c r="L33" s="14" t="n">
        <v>1</v>
      </c>
      <c r="M33" s="15" t="inlineStr">
        <is>
          <t>Renewed</t>
        </is>
      </c>
    </row>
    <row r="34">
      <c r="A34" s="7" t="inlineStr">
        <is>
          <t>ADM-MTR-SKT-2024-2029</t>
        </is>
      </c>
      <c r="B34" s="40" t="n">
        <v>45413</v>
      </c>
      <c r="C34" s="7" t="inlineStr">
        <is>
          <t>Sialkot</t>
        </is>
      </c>
      <c r="D34" s="7" t="inlineStr">
        <is>
          <t>Central</t>
        </is>
      </c>
      <c r="E34" s="7" t="inlineStr">
        <is>
          <t>Motor</t>
        </is>
      </c>
      <c r="F34" s="7" t="inlineStr">
        <is>
          <t>Direct</t>
        </is>
      </c>
      <c r="G34" s="7" t="inlineStr">
        <is>
          <t>Waqar Younis Khan</t>
        </is>
      </c>
      <c r="H34" s="7" t="inlineStr">
        <is>
          <t>Corporate</t>
        </is>
      </c>
      <c r="I34" s="11" t="n">
        <v>1200000</v>
      </c>
      <c r="J34" s="11" t="n">
        <v>29800</v>
      </c>
      <c r="K34" s="11" t="n">
        <v>28455</v>
      </c>
      <c r="L34" s="11" t="n">
        <v>1</v>
      </c>
      <c r="M34" s="7" t="inlineStr">
        <is>
          <t>Lapsed</t>
        </is>
      </c>
    </row>
    <row r="35">
      <c r="A35" s="15" t="inlineStr">
        <is>
          <t>ADM-HLT-RWP-2024-2030</t>
        </is>
      </c>
      <c r="B35" s="41" t="n">
        <v>45451</v>
      </c>
      <c r="C35" s="15" t="inlineStr">
        <is>
          <t>Rawalpindi</t>
        </is>
      </c>
      <c r="D35" s="15" t="inlineStr">
        <is>
          <t>North</t>
        </is>
      </c>
      <c r="E35" s="15" t="inlineStr">
        <is>
          <t>Health</t>
        </is>
      </c>
      <c r="F35" s="15" t="inlineStr">
        <is>
          <t>Agency</t>
        </is>
      </c>
      <c r="G35" s="15" t="inlineStr">
        <is>
          <t>Amna Zubair</t>
        </is>
      </c>
      <c r="H35" s="15" t="inlineStr">
        <is>
          <t>Corporate</t>
        </is>
      </c>
      <c r="I35" s="14" t="n">
        <v>1200000</v>
      </c>
      <c r="J35" s="14" t="n">
        <v>22700</v>
      </c>
      <c r="K35" s="14" t="n">
        <v>10619</v>
      </c>
      <c r="L35" s="14" t="n">
        <v>1</v>
      </c>
      <c r="M35" s="15" t="inlineStr">
        <is>
          <t>Cancelled</t>
        </is>
      </c>
    </row>
    <row r="36">
      <c r="A36" s="7" t="inlineStr">
        <is>
          <t>ADM-MSC-KHI-2024-2031</t>
        </is>
      </c>
      <c r="B36" s="40" t="n">
        <v>45488</v>
      </c>
      <c r="C36" s="7" t="inlineStr">
        <is>
          <t>Karachi Main</t>
        </is>
      </c>
      <c r="D36" s="7" t="inlineStr">
        <is>
          <t>South</t>
        </is>
      </c>
      <c r="E36" s="7" t="inlineStr">
        <is>
          <t>Miscellaneous</t>
        </is>
      </c>
      <c r="F36" s="7" t="inlineStr">
        <is>
          <t>Bancassurance</t>
        </is>
      </c>
      <c r="G36" s="7" t="inlineStr">
        <is>
          <t>Rizwan Ali Soomro</t>
        </is>
      </c>
      <c r="H36" s="7" t="inlineStr">
        <is>
          <t>Individual</t>
        </is>
      </c>
      <c r="I36" s="11" t="n">
        <v>47000000</v>
      </c>
      <c r="J36" s="11" t="n">
        <v>322500</v>
      </c>
      <c r="K36" s="11" t="n">
        <v>38715</v>
      </c>
      <c r="L36" s="11" t="n">
        <v>1</v>
      </c>
      <c r="M36" s="7" t="inlineStr">
        <is>
          <t>Active</t>
        </is>
      </c>
    </row>
    <row r="37">
      <c r="A37" s="15" t="inlineStr">
        <is>
          <t>ADM-MAR-LHR-2024-2032</t>
        </is>
      </c>
      <c r="B37" s="41" t="n">
        <v>45526</v>
      </c>
      <c r="C37" s="15" t="inlineStr">
        <is>
          <t>Lahore Gulberg</t>
        </is>
      </c>
      <c r="D37" s="15" t="inlineStr">
        <is>
          <t>Central</t>
        </is>
      </c>
      <c r="E37" s="15" t="inlineStr">
        <is>
          <t>Marine Cargo</t>
        </is>
      </c>
      <c r="F37" s="15" t="inlineStr">
        <is>
          <t>Corporate</t>
        </is>
      </c>
      <c r="G37" s="15" t="inlineStr">
        <is>
          <t>Farhan Dar</t>
        </is>
      </c>
      <c r="H37" s="15" t="inlineStr">
        <is>
          <t>Corporate</t>
        </is>
      </c>
      <c r="I37" s="14" t="n">
        <v>3400000</v>
      </c>
      <c r="J37" s="14" t="n">
        <v>25600</v>
      </c>
      <c r="K37" s="14" t="n">
        <v>20754</v>
      </c>
      <c r="L37" s="14" t="n">
        <v>1</v>
      </c>
      <c r="M37" s="15" t="inlineStr">
        <is>
          <t>Active</t>
        </is>
      </c>
    </row>
    <row r="38">
      <c r="A38" s="7" t="inlineStr">
        <is>
          <t>ADM-ENG-ISB-2024-2033</t>
        </is>
      </c>
      <c r="B38" s="40" t="n">
        <v>45536</v>
      </c>
      <c r="C38" s="7" t="inlineStr">
        <is>
          <t>Islamabad Blue Area</t>
        </is>
      </c>
      <c r="D38" s="7" t="inlineStr">
        <is>
          <t>North</t>
        </is>
      </c>
      <c r="E38" s="7" t="inlineStr">
        <is>
          <t>Engineering</t>
        </is>
      </c>
      <c r="F38" s="7" t="inlineStr">
        <is>
          <t>Direct</t>
        </is>
      </c>
      <c r="G38" s="7" t="inlineStr">
        <is>
          <t>Sobia Naz</t>
        </is>
      </c>
      <c r="H38" s="7" t="inlineStr">
        <is>
          <t>Corporate</t>
        </is>
      </c>
      <c r="I38" s="11" t="n">
        <v>3400000</v>
      </c>
      <c r="J38" s="11" t="n">
        <v>75400</v>
      </c>
      <c r="K38" s="11" t="n">
        <v>115086</v>
      </c>
      <c r="L38" s="11" t="n">
        <v>1</v>
      </c>
      <c r="M38" s="7" t="inlineStr">
        <is>
          <t>Renewed</t>
        </is>
      </c>
    </row>
    <row r="39">
      <c r="A39" s="15" t="inlineStr">
        <is>
          <t>ADM-FIR-FSD-2024-2034</t>
        </is>
      </c>
      <c r="B39" s="41" t="n">
        <v>45573</v>
      </c>
      <c r="C39" s="15" t="inlineStr">
        <is>
          <t>Faisalabad</t>
        </is>
      </c>
      <c r="D39" s="15" t="inlineStr">
        <is>
          <t>Central</t>
        </is>
      </c>
      <c r="E39" s="15" t="inlineStr">
        <is>
          <t>Fire &amp; Property</t>
        </is>
      </c>
      <c r="F39" s="15" t="inlineStr">
        <is>
          <t>Agency</t>
        </is>
      </c>
      <c r="G39" s="15" t="inlineStr">
        <is>
          <t>Junaid Akram</t>
        </is>
      </c>
      <c r="H39" s="15" t="inlineStr">
        <is>
          <t>Individual</t>
        </is>
      </c>
      <c r="I39" s="14" t="n">
        <v>47000000</v>
      </c>
      <c r="J39" s="14" t="n">
        <v>850800</v>
      </c>
      <c r="K39" s="14" t="n">
        <v>1420024</v>
      </c>
      <c r="L39" s="14" t="n">
        <v>1</v>
      </c>
      <c r="M39" s="15" t="inlineStr">
        <is>
          <t>Lapsed</t>
        </is>
      </c>
    </row>
    <row r="40">
      <c r="A40" s="7" t="inlineStr">
        <is>
          <t>ADM-TRV-MUL-2024-2035</t>
        </is>
      </c>
      <c r="B40" s="40" t="n">
        <v>45611</v>
      </c>
      <c r="C40" s="7" t="inlineStr">
        <is>
          <t>Multan</t>
        </is>
      </c>
      <c r="D40" s="7" t="inlineStr">
        <is>
          <t>Central</t>
        </is>
      </c>
      <c r="E40" s="7" t="inlineStr">
        <is>
          <t>Travel</t>
        </is>
      </c>
      <c r="F40" s="7" t="inlineStr">
        <is>
          <t>Bancassurance</t>
        </is>
      </c>
      <c r="G40" s="7" t="inlineStr">
        <is>
          <t>Hamid Raza</t>
        </is>
      </c>
      <c r="H40" s="7" t="inlineStr">
        <is>
          <t>Corporate</t>
        </is>
      </c>
      <c r="I40" s="11" t="n">
        <v>1200000</v>
      </c>
      <c r="J40" s="11" t="n">
        <v>33800</v>
      </c>
      <c r="K40" s="11" t="n">
        <v>30579</v>
      </c>
      <c r="L40" s="11" t="n">
        <v>1</v>
      </c>
      <c r="M40" s="7" t="inlineStr">
        <is>
          <t>Cancelled</t>
        </is>
      </c>
    </row>
    <row r="41">
      <c r="A41" s="15" t="inlineStr">
        <is>
          <t>ADM-MTR-PEW-2024-2036</t>
        </is>
      </c>
      <c r="B41" s="41" t="n">
        <v>45648</v>
      </c>
      <c r="C41" s="15" t="inlineStr">
        <is>
          <t>Peshawar</t>
        </is>
      </c>
      <c r="D41" s="15" t="inlineStr">
        <is>
          <t>North</t>
        </is>
      </c>
      <c r="E41" s="15" t="inlineStr">
        <is>
          <t>Motor</t>
        </is>
      </c>
      <c r="F41" s="15" t="inlineStr">
        <is>
          <t>Corporate</t>
        </is>
      </c>
      <c r="G41" s="15" t="inlineStr">
        <is>
          <t>Nimra Saleem</t>
        </is>
      </c>
      <c r="H41" s="15" t="inlineStr">
        <is>
          <t>Corporate</t>
        </is>
      </c>
      <c r="I41" s="14" t="n">
        <v>72000000</v>
      </c>
      <c r="J41" s="14" t="n">
        <v>565300</v>
      </c>
      <c r="K41" s="14" t="n">
        <v>412203</v>
      </c>
      <c r="L41" s="14" t="n">
        <v>1</v>
      </c>
      <c r="M41" s="15" t="inlineStr">
        <is>
          <t>Active</t>
        </is>
      </c>
    </row>
    <row r="42">
      <c r="A42" s="7" t="inlineStr">
        <is>
          <t>ADM-HLT-QTA-2024-2037</t>
        </is>
      </c>
      <c r="B42" s="40" t="n">
        <v>45292</v>
      </c>
      <c r="C42" s="7" t="inlineStr">
        <is>
          <t>Quetta</t>
        </is>
      </c>
      <c r="D42" s="7" t="inlineStr">
        <is>
          <t>South</t>
        </is>
      </c>
      <c r="E42" s="7" t="inlineStr">
        <is>
          <t>Health</t>
        </is>
      </c>
      <c r="F42" s="7" t="inlineStr">
        <is>
          <t>Direct</t>
        </is>
      </c>
      <c r="G42" s="7" t="inlineStr">
        <is>
          <t>Tariq Jameel</t>
        </is>
      </c>
      <c r="H42" s="7" t="inlineStr">
        <is>
          <t>Individual</t>
        </is>
      </c>
      <c r="I42" s="11" t="n">
        <v>6800000</v>
      </c>
      <c r="J42" s="11" t="n">
        <v>67400</v>
      </c>
      <c r="K42" s="11" t="n">
        <v>48692</v>
      </c>
      <c r="L42" s="11" t="n">
        <v>1</v>
      </c>
      <c r="M42" s="7" t="inlineStr">
        <is>
          <t>Active</t>
        </is>
      </c>
    </row>
    <row r="43">
      <c r="A43" s="15" t="inlineStr">
        <is>
          <t>ADM-MSC-HYD-2024-2038</t>
        </is>
      </c>
      <c r="B43" s="41" t="n">
        <v>45330</v>
      </c>
      <c r="C43" s="15" t="inlineStr">
        <is>
          <t>Hyderabad</t>
        </is>
      </c>
      <c r="D43" s="15" t="inlineStr">
        <is>
          <t>South</t>
        </is>
      </c>
      <c r="E43" s="15" t="inlineStr">
        <is>
          <t>Miscellaneous</t>
        </is>
      </c>
      <c r="F43" s="15" t="inlineStr">
        <is>
          <t>Agency</t>
        </is>
      </c>
      <c r="G43" s="15" t="inlineStr">
        <is>
          <t>Nadia Hassan</t>
        </is>
      </c>
      <c r="H43" s="15" t="inlineStr">
        <is>
          <t>Corporate</t>
        </is>
      </c>
      <c r="I43" s="14" t="n">
        <v>72000000</v>
      </c>
      <c r="J43" s="14" t="n">
        <v>1545300</v>
      </c>
      <c r="K43" s="14" t="n">
        <v>2216356</v>
      </c>
      <c r="L43" s="14" t="n">
        <v>1</v>
      </c>
      <c r="M43" s="15" t="inlineStr">
        <is>
          <t>Renewed</t>
        </is>
      </c>
    </row>
    <row r="44">
      <c r="A44" s="7" t="inlineStr">
        <is>
          <t>ADM-MAR-SKT-2024-2039</t>
        </is>
      </c>
      <c r="B44" s="40" t="n">
        <v>45366</v>
      </c>
      <c r="C44" s="7" t="inlineStr">
        <is>
          <t>Sialkot</t>
        </is>
      </c>
      <c r="D44" s="7" t="inlineStr">
        <is>
          <t>Central</t>
        </is>
      </c>
      <c r="E44" s="7" t="inlineStr">
        <is>
          <t>Marine Cargo</t>
        </is>
      </c>
      <c r="F44" s="7" t="inlineStr">
        <is>
          <t>Bancassurance</t>
        </is>
      </c>
      <c r="G44" s="7" t="inlineStr">
        <is>
          <t>Salman Shah</t>
        </is>
      </c>
      <c r="H44" s="7" t="inlineStr">
        <is>
          <t>Corporate</t>
        </is>
      </c>
      <c r="I44" s="11" t="n">
        <v>6800000</v>
      </c>
      <c r="J44" s="11" t="n">
        <v>69600</v>
      </c>
      <c r="K44" s="11" t="n">
        <v>27900</v>
      </c>
      <c r="L44" s="11" t="n">
        <v>1</v>
      </c>
      <c r="M44" s="7" t="inlineStr">
        <is>
          <t>Lapsed</t>
        </is>
      </c>
    </row>
    <row r="45">
      <c r="A45" s="15" t="inlineStr">
        <is>
          <t>ADM-ENG-RWP-2024-2040</t>
        </is>
      </c>
      <c r="B45" s="41" t="n">
        <v>45404</v>
      </c>
      <c r="C45" s="15" t="inlineStr">
        <is>
          <t>Rawalpindi</t>
        </is>
      </c>
      <c r="D45" s="15" t="inlineStr">
        <is>
          <t>North</t>
        </is>
      </c>
      <c r="E45" s="15" t="inlineStr">
        <is>
          <t>Engineering</t>
        </is>
      </c>
      <c r="F45" s="15" t="inlineStr">
        <is>
          <t>Corporate</t>
        </is>
      </c>
      <c r="G45" s="15" t="inlineStr">
        <is>
          <t>Komal Bashir</t>
        </is>
      </c>
      <c r="H45" s="15" t="inlineStr">
        <is>
          <t>Individual</t>
        </is>
      </c>
      <c r="I45" s="14" t="n">
        <v>19000000</v>
      </c>
      <c r="J45" s="14" t="n">
        <v>342100</v>
      </c>
      <c r="K45" s="14" t="n">
        <v>194150</v>
      </c>
      <c r="L45" s="14" t="n">
        <v>1</v>
      </c>
      <c r="M45" s="15" t="inlineStr">
        <is>
          <t>Cancelled</t>
        </is>
      </c>
    </row>
    <row r="46">
      <c r="A46" s="7" t="inlineStr">
        <is>
          <t>ADM-FIR-KHI-2024-2041</t>
        </is>
      </c>
      <c r="B46" s="40" t="n">
        <v>45413</v>
      </c>
      <c r="C46" s="7" t="inlineStr">
        <is>
          <t>Karachi Main</t>
        </is>
      </c>
      <c r="D46" s="7" t="inlineStr">
        <is>
          <t>South</t>
        </is>
      </c>
      <c r="E46" s="7" t="inlineStr">
        <is>
          <t>Fire &amp; Property</t>
        </is>
      </c>
      <c r="F46" s="7" t="inlineStr">
        <is>
          <t>Direct</t>
        </is>
      </c>
      <c r="G46" s="7" t="inlineStr">
        <is>
          <t>Waqar Younis Khan</t>
        </is>
      </c>
      <c r="H46" s="7" t="inlineStr">
        <is>
          <t>Corporate</t>
        </is>
      </c>
      <c r="I46" s="11" t="n">
        <v>1200000</v>
      </c>
      <c r="J46" s="11" t="n">
        <v>33100</v>
      </c>
      <c r="K46" s="11" t="n">
        <v>22602</v>
      </c>
      <c r="L46" s="11" t="n">
        <v>1</v>
      </c>
      <c r="M46" s="7" t="inlineStr">
        <is>
          <t>Active</t>
        </is>
      </c>
    </row>
    <row r="47">
      <c r="A47" s="15" t="inlineStr">
        <is>
          <t>ADM-TRV-LHR-2024-2042</t>
        </is>
      </c>
      <c r="B47" s="41" t="n">
        <v>45451</v>
      </c>
      <c r="C47" s="15" t="inlineStr">
        <is>
          <t>Lahore Gulberg</t>
        </is>
      </c>
      <c r="D47" s="15" t="inlineStr">
        <is>
          <t>Central</t>
        </is>
      </c>
      <c r="E47" s="15" t="inlineStr">
        <is>
          <t>Travel</t>
        </is>
      </c>
      <c r="F47" s="15" t="inlineStr">
        <is>
          <t>Agency</t>
        </is>
      </c>
      <c r="G47" s="15" t="inlineStr">
        <is>
          <t>Amna Zubair</t>
        </is>
      </c>
      <c r="H47" s="15" t="inlineStr">
        <is>
          <t>Corporate</t>
        </is>
      </c>
      <c r="I47" s="14" t="n">
        <v>1200000</v>
      </c>
      <c r="J47" s="14" t="n">
        <v>33900</v>
      </c>
      <c r="K47" s="14" t="n">
        <v>38937</v>
      </c>
      <c r="L47" s="14" t="n">
        <v>1</v>
      </c>
      <c r="M47" s="15" t="inlineStr">
        <is>
          <t>Active</t>
        </is>
      </c>
    </row>
    <row r="48">
      <c r="A48" s="7" t="inlineStr">
        <is>
          <t>ADM-MTR-ISB-2024-2043</t>
        </is>
      </c>
      <c r="B48" s="40" t="n">
        <v>45488</v>
      </c>
      <c r="C48" s="7" t="inlineStr">
        <is>
          <t>Islamabad Blue Area</t>
        </is>
      </c>
      <c r="D48" s="7" t="inlineStr">
        <is>
          <t>North</t>
        </is>
      </c>
      <c r="E48" s="7" t="inlineStr">
        <is>
          <t>Motor</t>
        </is>
      </c>
      <c r="F48" s="7" t="inlineStr">
        <is>
          <t>Bancassurance</t>
        </is>
      </c>
      <c r="G48" s="7" t="inlineStr">
        <is>
          <t>Rizwan Ali Soomro</t>
        </is>
      </c>
      <c r="H48" s="7" t="inlineStr">
        <is>
          <t>Individual</t>
        </is>
      </c>
      <c r="I48" s="11" t="n">
        <v>1200000</v>
      </c>
      <c r="J48" s="11" t="n">
        <v>32500</v>
      </c>
      <c r="K48" s="11" t="n">
        <v>832</v>
      </c>
      <c r="L48" s="11" t="n">
        <v>1</v>
      </c>
      <c r="M48" s="7" t="inlineStr">
        <is>
          <t>Renewed</t>
        </is>
      </c>
    </row>
    <row r="49">
      <c r="A49" s="15" t="inlineStr">
        <is>
          <t>ADM-HLT-FSD-2024-2044</t>
        </is>
      </c>
      <c r="B49" s="41" t="n">
        <v>45526</v>
      </c>
      <c r="C49" s="15" t="inlineStr">
        <is>
          <t>Faisalabad</t>
        </is>
      </c>
      <c r="D49" s="15" t="inlineStr">
        <is>
          <t>Central</t>
        </is>
      </c>
      <c r="E49" s="15" t="inlineStr">
        <is>
          <t>Health</t>
        </is>
      </c>
      <c r="F49" s="15" t="inlineStr">
        <is>
          <t>Corporate</t>
        </is>
      </c>
      <c r="G49" s="15" t="inlineStr">
        <is>
          <t>Farhan Dar</t>
        </is>
      </c>
      <c r="H49" s="15" t="inlineStr">
        <is>
          <t>Corporate</t>
        </is>
      </c>
      <c r="I49" s="14" t="n">
        <v>19000000</v>
      </c>
      <c r="J49" s="14" t="n">
        <v>533700</v>
      </c>
      <c r="K49" s="14" t="n">
        <v>328720</v>
      </c>
      <c r="L49" s="14" t="n">
        <v>1</v>
      </c>
      <c r="M49" s="15" t="inlineStr">
        <is>
          <t>Lapsed</t>
        </is>
      </c>
    </row>
    <row r="50">
      <c r="A50" s="7" t="inlineStr">
        <is>
          <t>ADM-MSC-MUL-2024-2045</t>
        </is>
      </c>
      <c r="B50" s="40" t="n">
        <v>45536</v>
      </c>
      <c r="C50" s="7" t="inlineStr">
        <is>
          <t>Multan</t>
        </is>
      </c>
      <c r="D50" s="7" t="inlineStr">
        <is>
          <t>Central</t>
        </is>
      </c>
      <c r="E50" s="7" t="inlineStr">
        <is>
          <t>Miscellaneous</t>
        </is>
      </c>
      <c r="F50" s="7" t="inlineStr">
        <is>
          <t>Direct</t>
        </is>
      </c>
      <c r="G50" s="7" t="inlineStr">
        <is>
          <t>Sobia Naz</t>
        </is>
      </c>
      <c r="H50" s="7" t="inlineStr">
        <is>
          <t>Corporate</t>
        </is>
      </c>
      <c r="I50" s="11" t="n">
        <v>6800000</v>
      </c>
      <c r="J50" s="11" t="n">
        <v>98700</v>
      </c>
      <c r="K50" s="11" t="n">
        <v>82186</v>
      </c>
      <c r="L50" s="11" t="n">
        <v>1</v>
      </c>
      <c r="M50" s="7" t="inlineStr">
        <is>
          <t>Cancelled</t>
        </is>
      </c>
    </row>
    <row r="51">
      <c r="A51" s="15" t="inlineStr">
        <is>
          <t>ADM-MAR-PEW-2024-2046</t>
        </is>
      </c>
      <c r="B51" s="41" t="n">
        <v>45573</v>
      </c>
      <c r="C51" s="15" t="inlineStr">
        <is>
          <t>Peshawar</t>
        </is>
      </c>
      <c r="D51" s="15" t="inlineStr">
        <is>
          <t>North</t>
        </is>
      </c>
      <c r="E51" s="15" t="inlineStr">
        <is>
          <t>Marine Cargo</t>
        </is>
      </c>
      <c r="F51" s="15" t="inlineStr">
        <is>
          <t>Agency</t>
        </is>
      </c>
      <c r="G51" s="15" t="inlineStr">
        <is>
          <t>Junaid Akram</t>
        </is>
      </c>
      <c r="H51" s="15" t="inlineStr">
        <is>
          <t>Individual</t>
        </is>
      </c>
      <c r="I51" s="14" t="n">
        <v>6800000</v>
      </c>
      <c r="J51" s="14" t="n">
        <v>86800</v>
      </c>
      <c r="K51" s="14" t="n">
        <v>159241</v>
      </c>
      <c r="L51" s="14" t="n">
        <v>1</v>
      </c>
      <c r="M51" s="15" t="inlineStr">
        <is>
          <t>Active</t>
        </is>
      </c>
    </row>
    <row r="52">
      <c r="A52" s="7" t="inlineStr">
        <is>
          <t>ADM-ENG-QTA-2024-2047</t>
        </is>
      </c>
      <c r="B52" s="40" t="n">
        <v>45611</v>
      </c>
      <c r="C52" s="7" t="inlineStr">
        <is>
          <t>Quetta</t>
        </is>
      </c>
      <c r="D52" s="7" t="inlineStr">
        <is>
          <t>South</t>
        </is>
      </c>
      <c r="E52" s="7" t="inlineStr">
        <is>
          <t>Engineering</t>
        </is>
      </c>
      <c r="F52" s="7" t="inlineStr">
        <is>
          <t>Bancassurance</t>
        </is>
      </c>
      <c r="G52" s="7" t="inlineStr">
        <is>
          <t>Hamid Raza</t>
        </is>
      </c>
      <c r="H52" s="7" t="inlineStr">
        <is>
          <t>Corporate</t>
        </is>
      </c>
      <c r="I52" s="11" t="n">
        <v>11500000</v>
      </c>
      <c r="J52" s="11" t="n">
        <v>241200</v>
      </c>
      <c r="K52" s="11" t="n">
        <v>123144</v>
      </c>
      <c r="L52" s="11" t="n">
        <v>1</v>
      </c>
      <c r="M52" s="7" t="inlineStr">
        <is>
          <t>Active</t>
        </is>
      </c>
    </row>
    <row r="53">
      <c r="A53" s="15" t="inlineStr">
        <is>
          <t>ADM-FIR-HYD-2024-2048</t>
        </is>
      </c>
      <c r="B53" s="41" t="n">
        <v>45648</v>
      </c>
      <c r="C53" s="15" t="inlineStr">
        <is>
          <t>Hyderabad</t>
        </is>
      </c>
      <c r="D53" s="15" t="inlineStr">
        <is>
          <t>South</t>
        </is>
      </c>
      <c r="E53" s="15" t="inlineStr">
        <is>
          <t>Fire &amp; Property</t>
        </is>
      </c>
      <c r="F53" s="15" t="inlineStr">
        <is>
          <t>Corporate</t>
        </is>
      </c>
      <c r="G53" s="15" t="inlineStr">
        <is>
          <t>Nimra Saleem</t>
        </is>
      </c>
      <c r="H53" s="15" t="inlineStr">
        <is>
          <t>Corporate</t>
        </is>
      </c>
      <c r="I53" s="14" t="n">
        <v>72000000</v>
      </c>
      <c r="J53" s="14" t="n">
        <v>750700</v>
      </c>
      <c r="K53" s="14" t="n">
        <v>1310060</v>
      </c>
      <c r="L53" s="14" t="n">
        <v>1</v>
      </c>
      <c r="M53" s="15" t="inlineStr">
        <is>
          <t>Renewed</t>
        </is>
      </c>
    </row>
    <row r="54">
      <c r="A54" s="7" t="inlineStr">
        <is>
          <t>ADM-TRV-SKT-2024-2049</t>
        </is>
      </c>
      <c r="B54" s="40" t="n">
        <v>45292</v>
      </c>
      <c r="C54" s="7" t="inlineStr">
        <is>
          <t>Sialkot</t>
        </is>
      </c>
      <c r="D54" s="7" t="inlineStr">
        <is>
          <t>Central</t>
        </is>
      </c>
      <c r="E54" s="7" t="inlineStr">
        <is>
          <t>Travel</t>
        </is>
      </c>
      <c r="F54" s="7" t="inlineStr">
        <is>
          <t>Direct</t>
        </is>
      </c>
      <c r="G54" s="7" t="inlineStr">
        <is>
          <t>Tariq Jameel</t>
        </is>
      </c>
      <c r="H54" s="7" t="inlineStr">
        <is>
          <t>Individual</t>
        </is>
      </c>
      <c r="I54" s="11" t="n">
        <v>72000000</v>
      </c>
      <c r="J54" s="11" t="n">
        <v>1755700</v>
      </c>
      <c r="K54" s="11" t="n">
        <v>112983</v>
      </c>
      <c r="L54" s="11" t="n">
        <v>1</v>
      </c>
      <c r="M54" s="7" t="inlineStr">
        <is>
          <t>Lapsed</t>
        </is>
      </c>
    </row>
    <row r="55">
      <c r="A55" s="15" t="inlineStr">
        <is>
          <t>ADM-MTR-RWP-2024-2050</t>
        </is>
      </c>
      <c r="B55" s="41" t="n">
        <v>45330</v>
      </c>
      <c r="C55" s="15" t="inlineStr">
        <is>
          <t>Rawalpindi</t>
        </is>
      </c>
      <c r="D55" s="15" t="inlineStr">
        <is>
          <t>North</t>
        </is>
      </c>
      <c r="E55" s="15" t="inlineStr">
        <is>
          <t>Motor</t>
        </is>
      </c>
      <c r="F55" s="15" t="inlineStr">
        <is>
          <t>Agency</t>
        </is>
      </c>
      <c r="G55" s="15" t="inlineStr">
        <is>
          <t>Nadia Hassan</t>
        </is>
      </c>
      <c r="H55" s="15" t="inlineStr">
        <is>
          <t>Corporate</t>
        </is>
      </c>
      <c r="I55" s="14" t="n">
        <v>1200000</v>
      </c>
      <c r="J55" s="14" t="n">
        <v>9200</v>
      </c>
      <c r="K55" s="14" t="n">
        <v>10507</v>
      </c>
      <c r="L55" s="14" t="n">
        <v>1</v>
      </c>
      <c r="M55" s="15" t="inlineStr">
        <is>
          <t>Cancelled</t>
        </is>
      </c>
    </row>
    <row r="56">
      <c r="A56" s="7" t="inlineStr">
        <is>
          <t>ADM-HLT-KHI-2024-2051</t>
        </is>
      </c>
      <c r="B56" s="40" t="n">
        <v>45366</v>
      </c>
      <c r="C56" s="7" t="inlineStr">
        <is>
          <t>Karachi Main</t>
        </is>
      </c>
      <c r="D56" s="7" t="inlineStr">
        <is>
          <t>South</t>
        </is>
      </c>
      <c r="E56" s="7" t="inlineStr">
        <is>
          <t>Health</t>
        </is>
      </c>
      <c r="F56" s="7" t="inlineStr">
        <is>
          <t>Bancassurance</t>
        </is>
      </c>
      <c r="G56" s="7" t="inlineStr">
        <is>
          <t>Salman Shah</t>
        </is>
      </c>
      <c r="H56" s="7" t="inlineStr">
        <is>
          <t>Corporate</t>
        </is>
      </c>
      <c r="I56" s="11" t="n">
        <v>1200000</v>
      </c>
      <c r="J56" s="11" t="n">
        <v>27200</v>
      </c>
      <c r="K56" s="11" t="n">
        <v>43127</v>
      </c>
      <c r="L56" s="11" t="n">
        <v>1</v>
      </c>
      <c r="M56" s="7" t="inlineStr">
        <is>
          <t>Active</t>
        </is>
      </c>
    </row>
    <row r="57">
      <c r="A57" s="15" t="inlineStr">
        <is>
          <t>ADM-MSC-LHR-2024-2052</t>
        </is>
      </c>
      <c r="B57" s="41" t="n">
        <v>45404</v>
      </c>
      <c r="C57" s="15" t="inlineStr">
        <is>
          <t>Lahore Gulberg</t>
        </is>
      </c>
      <c r="D57" s="15" t="inlineStr">
        <is>
          <t>Central</t>
        </is>
      </c>
      <c r="E57" s="15" t="inlineStr">
        <is>
          <t>Miscellaneous</t>
        </is>
      </c>
      <c r="F57" s="15" t="inlineStr">
        <is>
          <t>Corporate</t>
        </is>
      </c>
      <c r="G57" s="15" t="inlineStr">
        <is>
          <t>Komal Bashir</t>
        </is>
      </c>
      <c r="H57" s="15" t="inlineStr">
        <is>
          <t>Individual</t>
        </is>
      </c>
      <c r="I57" s="14" t="n">
        <v>47000000</v>
      </c>
      <c r="J57" s="14" t="n">
        <v>529800</v>
      </c>
      <c r="K57" s="14" t="n">
        <v>256933</v>
      </c>
      <c r="L57" s="14" t="n">
        <v>1</v>
      </c>
      <c r="M57" s="15" t="inlineStr">
        <is>
          <t>Active</t>
        </is>
      </c>
    </row>
    <row r="58">
      <c r="A58" s="7" t="inlineStr">
        <is>
          <t>ADM-MAR-ISB-2024-2053</t>
        </is>
      </c>
      <c r="B58" s="40" t="n">
        <v>45413</v>
      </c>
      <c r="C58" s="7" t="inlineStr">
        <is>
          <t>Islamabad Blue Area</t>
        </is>
      </c>
      <c r="D58" s="7" t="inlineStr">
        <is>
          <t>North</t>
        </is>
      </c>
      <c r="E58" s="7" t="inlineStr">
        <is>
          <t>Marine Cargo</t>
        </is>
      </c>
      <c r="F58" s="7" t="inlineStr">
        <is>
          <t>Direct</t>
        </is>
      </c>
      <c r="G58" s="7" t="inlineStr">
        <is>
          <t>Waqar Younis Khan</t>
        </is>
      </c>
      <c r="H58" s="7" t="inlineStr">
        <is>
          <t>Corporate</t>
        </is>
      </c>
      <c r="I58" s="11" t="n">
        <v>72000000</v>
      </c>
      <c r="J58" s="11" t="n">
        <v>1845200</v>
      </c>
      <c r="K58" s="11" t="n">
        <v>901690</v>
      </c>
      <c r="L58" s="11" t="n">
        <v>1</v>
      </c>
      <c r="M58" s="7" t="inlineStr">
        <is>
          <t>Renewed</t>
        </is>
      </c>
    </row>
    <row r="59">
      <c r="A59" s="15" t="inlineStr">
        <is>
          <t>ADM-ENG-FSD-2024-2054</t>
        </is>
      </c>
      <c r="B59" s="41" t="n">
        <v>45451</v>
      </c>
      <c r="C59" s="15" t="inlineStr">
        <is>
          <t>Faisalabad</t>
        </is>
      </c>
      <c r="D59" s="15" t="inlineStr">
        <is>
          <t>Central</t>
        </is>
      </c>
      <c r="E59" s="15" t="inlineStr">
        <is>
          <t>Engineering</t>
        </is>
      </c>
      <c r="F59" s="15" t="inlineStr">
        <is>
          <t>Agency</t>
        </is>
      </c>
      <c r="G59" s="15" t="inlineStr">
        <is>
          <t>Amna Zubair</t>
        </is>
      </c>
      <c r="H59" s="15" t="inlineStr">
        <is>
          <t>Corporate</t>
        </is>
      </c>
      <c r="I59" s="14" t="n">
        <v>72000000</v>
      </c>
      <c r="J59" s="14" t="n">
        <v>439500</v>
      </c>
      <c r="K59" s="14" t="n">
        <v>142358</v>
      </c>
      <c r="L59" s="14" t="n">
        <v>1</v>
      </c>
      <c r="M59" s="15" t="inlineStr">
        <is>
          <t>Lapsed</t>
        </is>
      </c>
    </row>
    <row r="60">
      <c r="A60" s="7" t="inlineStr">
        <is>
          <t>ADM-FIR-MUL-2024-2055</t>
        </is>
      </c>
      <c r="B60" s="40" t="n">
        <v>45488</v>
      </c>
      <c r="C60" s="7" t="inlineStr">
        <is>
          <t>Multan</t>
        </is>
      </c>
      <c r="D60" s="7" t="inlineStr">
        <is>
          <t>Central</t>
        </is>
      </c>
      <c r="E60" s="7" t="inlineStr">
        <is>
          <t>Fire &amp; Property</t>
        </is>
      </c>
      <c r="F60" s="7" t="inlineStr">
        <is>
          <t>Bancassurance</t>
        </is>
      </c>
      <c r="G60" s="7" t="inlineStr">
        <is>
          <t>Rizwan Ali Soomro</t>
        </is>
      </c>
      <c r="H60" s="7" t="inlineStr">
        <is>
          <t>Individual</t>
        </is>
      </c>
      <c r="I60" s="11" t="n">
        <v>72000000</v>
      </c>
      <c r="J60" s="11" t="n">
        <v>1904500</v>
      </c>
      <c r="K60" s="11" t="n">
        <v>2127168</v>
      </c>
      <c r="L60" s="11" t="n">
        <v>1</v>
      </c>
      <c r="M60" s="7" t="inlineStr">
        <is>
          <t>Cancelled</t>
        </is>
      </c>
    </row>
    <row r="61">
      <c r="A61" s="15" t="inlineStr">
        <is>
          <t>ADM-TRV-PEW-2024-2056</t>
        </is>
      </c>
      <c r="B61" s="41" t="n">
        <v>45526</v>
      </c>
      <c r="C61" s="15" t="inlineStr">
        <is>
          <t>Peshawar</t>
        </is>
      </c>
      <c r="D61" s="15" t="inlineStr">
        <is>
          <t>North</t>
        </is>
      </c>
      <c r="E61" s="15" t="inlineStr">
        <is>
          <t>Travel</t>
        </is>
      </c>
      <c r="F61" s="15" t="inlineStr">
        <is>
          <t>Corporate</t>
        </is>
      </c>
      <c r="G61" s="15" t="inlineStr">
        <is>
          <t>Farhan Dar</t>
        </is>
      </c>
      <c r="H61" s="15" t="inlineStr">
        <is>
          <t>Corporate</t>
        </is>
      </c>
      <c r="I61" s="14" t="n">
        <v>72000000</v>
      </c>
      <c r="J61" s="14" t="n">
        <v>2216000</v>
      </c>
      <c r="K61" s="14" t="n">
        <v>844750</v>
      </c>
      <c r="L61" s="14" t="n">
        <v>1</v>
      </c>
      <c r="M61" s="15" t="inlineStr">
        <is>
          <t>Active</t>
        </is>
      </c>
    </row>
    <row r="62">
      <c r="A62" s="7" t="inlineStr">
        <is>
          <t>ADM-MTR-QTA-2024-2057</t>
        </is>
      </c>
      <c r="B62" s="40" t="n">
        <v>45536</v>
      </c>
      <c r="C62" s="7" t="inlineStr">
        <is>
          <t>Quetta</t>
        </is>
      </c>
      <c r="D62" s="7" t="inlineStr">
        <is>
          <t>South</t>
        </is>
      </c>
      <c r="E62" s="7" t="inlineStr">
        <is>
          <t>Motor</t>
        </is>
      </c>
      <c r="F62" s="7" t="inlineStr">
        <is>
          <t>Direct</t>
        </is>
      </c>
      <c r="G62" s="7" t="inlineStr">
        <is>
          <t>Sobia Naz</t>
        </is>
      </c>
      <c r="H62" s="7" t="inlineStr">
        <is>
          <t>Corporate</t>
        </is>
      </c>
      <c r="I62" s="11" t="n">
        <v>6800000</v>
      </c>
      <c r="J62" s="11" t="n">
        <v>205000</v>
      </c>
      <c r="K62" s="11" t="n">
        <v>340836</v>
      </c>
      <c r="L62" s="11" t="n">
        <v>1</v>
      </c>
      <c r="M62" s="7" t="inlineStr">
        <is>
          <t>Active</t>
        </is>
      </c>
    </row>
    <row r="63">
      <c r="A63" s="15" t="inlineStr">
        <is>
          <t>ADM-HLT-HYD-2024-2058</t>
        </is>
      </c>
      <c r="B63" s="41" t="n">
        <v>45573</v>
      </c>
      <c r="C63" s="15" t="inlineStr">
        <is>
          <t>Hyderabad</t>
        </is>
      </c>
      <c r="D63" s="15" t="inlineStr">
        <is>
          <t>South</t>
        </is>
      </c>
      <c r="E63" s="15" t="inlineStr">
        <is>
          <t>Health</t>
        </is>
      </c>
      <c r="F63" s="15" t="inlineStr">
        <is>
          <t>Agency</t>
        </is>
      </c>
      <c r="G63" s="15" t="inlineStr">
        <is>
          <t>Junaid Akram</t>
        </is>
      </c>
      <c r="H63" s="15" t="inlineStr">
        <is>
          <t>Individual</t>
        </is>
      </c>
      <c r="I63" s="14" t="n">
        <v>47000000</v>
      </c>
      <c r="J63" s="14" t="n">
        <v>625000</v>
      </c>
      <c r="K63" s="14" t="n">
        <v>389202</v>
      </c>
      <c r="L63" s="14" t="n">
        <v>1</v>
      </c>
      <c r="M63" s="15" t="inlineStr">
        <is>
          <t>Renewed</t>
        </is>
      </c>
    </row>
    <row r="64">
      <c r="A64" s="7" t="inlineStr">
        <is>
          <t>ADM-MSC-SKT-2024-2059</t>
        </is>
      </c>
      <c r="B64" s="40" t="n">
        <v>45611</v>
      </c>
      <c r="C64" s="7" t="inlineStr">
        <is>
          <t>Sialkot</t>
        </is>
      </c>
      <c r="D64" s="7" t="inlineStr">
        <is>
          <t>Central</t>
        </is>
      </c>
      <c r="E64" s="7" t="inlineStr">
        <is>
          <t>Miscellaneous</t>
        </is>
      </c>
      <c r="F64" s="7" t="inlineStr">
        <is>
          <t>Bancassurance</t>
        </is>
      </c>
      <c r="G64" s="7" t="inlineStr">
        <is>
          <t>Hamid Raza</t>
        </is>
      </c>
      <c r="H64" s="7" t="inlineStr">
        <is>
          <t>Corporate</t>
        </is>
      </c>
      <c r="I64" s="11" t="n">
        <v>28000000</v>
      </c>
      <c r="J64" s="11" t="n">
        <v>848100</v>
      </c>
      <c r="K64" s="11" t="n">
        <v>1353456</v>
      </c>
      <c r="L64" s="11" t="n">
        <v>1</v>
      </c>
      <c r="M64" s="7" t="inlineStr">
        <is>
          <t>Lapsed</t>
        </is>
      </c>
    </row>
    <row r="65">
      <c r="A65" s="15" t="inlineStr">
        <is>
          <t>ADM-MAR-RWP-2024-2060</t>
        </is>
      </c>
      <c r="B65" s="41" t="n">
        <v>45648</v>
      </c>
      <c r="C65" s="15" t="inlineStr">
        <is>
          <t>Rawalpindi</t>
        </is>
      </c>
      <c r="D65" s="15" t="inlineStr">
        <is>
          <t>North</t>
        </is>
      </c>
      <c r="E65" s="15" t="inlineStr">
        <is>
          <t>Marine Cargo</t>
        </is>
      </c>
      <c r="F65" s="15" t="inlineStr">
        <is>
          <t>Corporate</t>
        </is>
      </c>
      <c r="G65" s="15" t="inlineStr">
        <is>
          <t>Nimra Saleem</t>
        </is>
      </c>
      <c r="H65" s="15" t="inlineStr">
        <is>
          <t>Corporate</t>
        </is>
      </c>
      <c r="I65" s="14" t="n">
        <v>19000000</v>
      </c>
      <c r="J65" s="14" t="n">
        <v>293100</v>
      </c>
      <c r="K65" s="14" t="n">
        <v>355754</v>
      </c>
      <c r="L65" s="14" t="n">
        <v>1</v>
      </c>
      <c r="M65" s="15" t="inlineStr">
        <is>
          <t>Cancelled</t>
        </is>
      </c>
    </row>
    <row r="66">
      <c r="A66" s="7" t="inlineStr">
        <is>
          <t>ADM-ENG-KHI-2024-2061</t>
        </is>
      </c>
      <c r="B66" s="40" t="n">
        <v>45292</v>
      </c>
      <c r="C66" s="7" t="inlineStr">
        <is>
          <t>Karachi Main</t>
        </is>
      </c>
      <c r="D66" s="7" t="inlineStr">
        <is>
          <t>South</t>
        </is>
      </c>
      <c r="E66" s="7" t="inlineStr">
        <is>
          <t>Engineering</t>
        </is>
      </c>
      <c r="F66" s="7" t="inlineStr">
        <is>
          <t>Direct</t>
        </is>
      </c>
      <c r="G66" s="7" t="inlineStr">
        <is>
          <t>Tariq Jameel</t>
        </is>
      </c>
      <c r="H66" s="7" t="inlineStr">
        <is>
          <t>Individual</t>
        </is>
      </c>
      <c r="I66" s="11" t="n">
        <v>3400000</v>
      </c>
      <c r="J66" s="11" t="n">
        <v>99500</v>
      </c>
      <c r="K66" s="11" t="n">
        <v>58895</v>
      </c>
      <c r="L66" s="11" t="n">
        <v>1</v>
      </c>
      <c r="M66" s="7" t="inlineStr">
        <is>
          <t>Active</t>
        </is>
      </c>
    </row>
    <row r="67">
      <c r="A67" s="15" t="inlineStr">
        <is>
          <t>ADM-FIR-LHR-2024-2062</t>
        </is>
      </c>
      <c r="B67" s="41" t="n">
        <v>45330</v>
      </c>
      <c r="C67" s="15" t="inlineStr">
        <is>
          <t>Lahore Gulberg</t>
        </is>
      </c>
      <c r="D67" s="15" t="inlineStr">
        <is>
          <t>Central</t>
        </is>
      </c>
      <c r="E67" s="15" t="inlineStr">
        <is>
          <t>Fire &amp; Property</t>
        </is>
      </c>
      <c r="F67" s="15" t="inlineStr">
        <is>
          <t>Agency</t>
        </is>
      </c>
      <c r="G67" s="15" t="inlineStr">
        <is>
          <t>Nadia Hassan</t>
        </is>
      </c>
      <c r="H67" s="15" t="inlineStr">
        <is>
          <t>Corporate</t>
        </is>
      </c>
      <c r="I67" s="14" t="n">
        <v>72000000</v>
      </c>
      <c r="J67" s="14" t="n">
        <v>482300</v>
      </c>
      <c r="K67" s="14" t="n">
        <v>734148</v>
      </c>
      <c r="L67" s="14" t="n">
        <v>1</v>
      </c>
      <c r="M67" s="15" t="inlineStr">
        <is>
          <t>Active</t>
        </is>
      </c>
    </row>
    <row r="68">
      <c r="A68" s="7" t="inlineStr">
        <is>
          <t>ADM-TRV-ISB-2024-2063</t>
        </is>
      </c>
      <c r="B68" s="40" t="n">
        <v>45366</v>
      </c>
      <c r="C68" s="7" t="inlineStr">
        <is>
          <t>Islamabad Blue Area</t>
        </is>
      </c>
      <c r="D68" s="7" t="inlineStr">
        <is>
          <t>North</t>
        </is>
      </c>
      <c r="E68" s="7" t="inlineStr">
        <is>
          <t>Travel</t>
        </is>
      </c>
      <c r="F68" s="7" t="inlineStr">
        <is>
          <t>Bancassurance</t>
        </is>
      </c>
      <c r="G68" s="7" t="inlineStr">
        <is>
          <t>Salman Shah</t>
        </is>
      </c>
      <c r="H68" s="7" t="inlineStr">
        <is>
          <t>Corporate</t>
        </is>
      </c>
      <c r="I68" s="11" t="n">
        <v>47000000</v>
      </c>
      <c r="J68" s="11" t="n">
        <v>829800</v>
      </c>
      <c r="K68" s="11" t="n">
        <v>459043</v>
      </c>
      <c r="L68" s="11" t="n">
        <v>1</v>
      </c>
      <c r="M68" s="7" t="inlineStr">
        <is>
          <t>Renewed</t>
        </is>
      </c>
    </row>
    <row r="69">
      <c r="A69" s="15" t="inlineStr">
        <is>
          <t>ADM-MTR-FSD-2024-2064</t>
        </is>
      </c>
      <c r="B69" s="41" t="n">
        <v>45404</v>
      </c>
      <c r="C69" s="15" t="inlineStr">
        <is>
          <t>Faisalabad</t>
        </is>
      </c>
      <c r="D69" s="15" t="inlineStr">
        <is>
          <t>Central</t>
        </is>
      </c>
      <c r="E69" s="15" t="inlineStr">
        <is>
          <t>Motor</t>
        </is>
      </c>
      <c r="F69" s="15" t="inlineStr">
        <is>
          <t>Corporate</t>
        </is>
      </c>
      <c r="G69" s="15" t="inlineStr">
        <is>
          <t>Komal Bashir</t>
        </is>
      </c>
      <c r="H69" s="15" t="inlineStr">
        <is>
          <t>Individual</t>
        </is>
      </c>
      <c r="I69" s="14" t="n">
        <v>72000000</v>
      </c>
      <c r="J69" s="14" t="n">
        <v>1006900</v>
      </c>
      <c r="K69" s="14" t="n">
        <v>107807</v>
      </c>
      <c r="L69" s="14" t="n">
        <v>1</v>
      </c>
      <c r="M69" s="15" t="inlineStr">
        <is>
          <t>Lapsed</t>
        </is>
      </c>
    </row>
    <row r="70">
      <c r="A70" s="7" t="inlineStr">
        <is>
          <t>ADM-HLT-MUL-2024-2065</t>
        </is>
      </c>
      <c r="B70" s="40" t="n">
        <v>45413</v>
      </c>
      <c r="C70" s="7" t="inlineStr">
        <is>
          <t>Multan</t>
        </is>
      </c>
      <c r="D70" s="7" t="inlineStr">
        <is>
          <t>Central</t>
        </is>
      </c>
      <c r="E70" s="7" t="inlineStr">
        <is>
          <t>Health</t>
        </is>
      </c>
      <c r="F70" s="7" t="inlineStr">
        <is>
          <t>Direct</t>
        </is>
      </c>
      <c r="G70" s="7" t="inlineStr">
        <is>
          <t>Waqar Younis Khan</t>
        </is>
      </c>
      <c r="H70" s="7" t="inlineStr">
        <is>
          <t>Corporate</t>
        </is>
      </c>
      <c r="I70" s="11" t="n">
        <v>1200000</v>
      </c>
      <c r="J70" s="11" t="n">
        <v>36500</v>
      </c>
      <c r="K70" s="11" t="n">
        <v>53071</v>
      </c>
      <c r="L70" s="11" t="n">
        <v>1</v>
      </c>
      <c r="M70" s="7" t="inlineStr">
        <is>
          <t>Cancelled</t>
        </is>
      </c>
    </row>
    <row r="71">
      <c r="A71" s="15" t="inlineStr">
        <is>
          <t>ADM-MSC-PEW-2024-2066</t>
        </is>
      </c>
      <c r="B71" s="41" t="n">
        <v>45451</v>
      </c>
      <c r="C71" s="15" t="inlineStr">
        <is>
          <t>Peshawar</t>
        </is>
      </c>
      <c r="D71" s="15" t="inlineStr">
        <is>
          <t>North</t>
        </is>
      </c>
      <c r="E71" s="15" t="inlineStr">
        <is>
          <t>Miscellaneous</t>
        </is>
      </c>
      <c r="F71" s="15" t="inlineStr">
        <is>
          <t>Agency</t>
        </is>
      </c>
      <c r="G71" s="15" t="inlineStr">
        <is>
          <t>Amna Zubair</t>
        </is>
      </c>
      <c r="H71" s="15" t="inlineStr">
        <is>
          <t>Corporate</t>
        </is>
      </c>
      <c r="I71" s="14" t="n">
        <v>28000000</v>
      </c>
      <c r="J71" s="14" t="n">
        <v>489500</v>
      </c>
      <c r="K71" s="14" t="n">
        <v>196838</v>
      </c>
      <c r="L71" s="14" t="n">
        <v>1</v>
      </c>
      <c r="M71" s="15" t="inlineStr">
        <is>
          <t>Active</t>
        </is>
      </c>
    </row>
    <row r="72">
      <c r="A72" s="7" t="inlineStr">
        <is>
          <t>ADM-MAR-QTA-2024-2067</t>
        </is>
      </c>
      <c r="B72" s="40" t="n">
        <v>45488</v>
      </c>
      <c r="C72" s="7" t="inlineStr">
        <is>
          <t>Quetta</t>
        </is>
      </c>
      <c r="D72" s="7" t="inlineStr">
        <is>
          <t>South</t>
        </is>
      </c>
      <c r="E72" s="7" t="inlineStr">
        <is>
          <t>Marine Cargo</t>
        </is>
      </c>
      <c r="F72" s="7" t="inlineStr">
        <is>
          <t>Bancassurance</t>
        </is>
      </c>
      <c r="G72" s="7" t="inlineStr">
        <is>
          <t>Rizwan Ali Soomro</t>
        </is>
      </c>
      <c r="H72" s="7" t="inlineStr">
        <is>
          <t>Individual</t>
        </is>
      </c>
      <c r="I72" s="11" t="n">
        <v>3400000</v>
      </c>
      <c r="J72" s="11" t="n">
        <v>24200</v>
      </c>
      <c r="K72" s="11" t="n">
        <v>1580</v>
      </c>
      <c r="L72" s="11" t="n">
        <v>1</v>
      </c>
      <c r="M72" s="7" t="inlineStr">
        <is>
          <t>Active</t>
        </is>
      </c>
    </row>
    <row r="73">
      <c r="A73" s="15" t="inlineStr">
        <is>
          <t>ADM-ENG-HYD-2024-2068</t>
        </is>
      </c>
      <c r="B73" s="41" t="n">
        <v>45526</v>
      </c>
      <c r="C73" s="15" t="inlineStr">
        <is>
          <t>Hyderabad</t>
        </is>
      </c>
      <c r="D73" s="15" t="inlineStr">
        <is>
          <t>South</t>
        </is>
      </c>
      <c r="E73" s="15" t="inlineStr">
        <is>
          <t>Engineering</t>
        </is>
      </c>
      <c r="F73" s="15" t="inlineStr">
        <is>
          <t>Corporate</t>
        </is>
      </c>
      <c r="G73" s="15" t="inlineStr">
        <is>
          <t>Farhan Dar</t>
        </is>
      </c>
      <c r="H73" s="15" t="inlineStr">
        <is>
          <t>Corporate</t>
        </is>
      </c>
      <c r="I73" s="14" t="n">
        <v>28000000</v>
      </c>
      <c r="J73" s="14" t="n">
        <v>517500</v>
      </c>
      <c r="K73" s="14" t="n">
        <v>652081</v>
      </c>
      <c r="L73" s="14" t="n">
        <v>1</v>
      </c>
      <c r="M73" s="15" t="inlineStr">
        <is>
          <t>Renewed</t>
        </is>
      </c>
    </row>
    <row r="74">
      <c r="A74" s="7" t="inlineStr">
        <is>
          <t>ADM-FIR-SKT-2024-2069</t>
        </is>
      </c>
      <c r="B74" s="40" t="n">
        <v>45536</v>
      </c>
      <c r="C74" s="7" t="inlineStr">
        <is>
          <t>Sialkot</t>
        </is>
      </c>
      <c r="D74" s="7" t="inlineStr">
        <is>
          <t>Central</t>
        </is>
      </c>
      <c r="E74" s="7" t="inlineStr">
        <is>
          <t>Fire &amp; Property</t>
        </is>
      </c>
      <c r="F74" s="7" t="inlineStr">
        <is>
          <t>Direct</t>
        </is>
      </c>
      <c r="G74" s="7" t="inlineStr">
        <is>
          <t>Sobia Naz</t>
        </is>
      </c>
      <c r="H74" s="7" t="inlineStr">
        <is>
          <t>Corporate</t>
        </is>
      </c>
      <c r="I74" s="11" t="n">
        <v>11500000</v>
      </c>
      <c r="J74" s="11" t="n">
        <v>88300</v>
      </c>
      <c r="K74" s="11" t="n">
        <v>136682</v>
      </c>
      <c r="L74" s="11" t="n">
        <v>1</v>
      </c>
      <c r="M74" s="7" t="inlineStr">
        <is>
          <t>Lapsed</t>
        </is>
      </c>
    </row>
    <row r="75">
      <c r="A75" s="15" t="inlineStr">
        <is>
          <t>ADM-TRV-RWP-2024-2070</t>
        </is>
      </c>
      <c r="B75" s="41" t="n">
        <v>45573</v>
      </c>
      <c r="C75" s="15" t="inlineStr">
        <is>
          <t>Rawalpindi</t>
        </is>
      </c>
      <c r="D75" s="15" t="inlineStr">
        <is>
          <t>North</t>
        </is>
      </c>
      <c r="E75" s="15" t="inlineStr">
        <is>
          <t>Travel</t>
        </is>
      </c>
      <c r="F75" s="15" t="inlineStr">
        <is>
          <t>Agency</t>
        </is>
      </c>
      <c r="G75" s="15" t="inlineStr">
        <is>
          <t>Junaid Akram</t>
        </is>
      </c>
      <c r="H75" s="15" t="inlineStr">
        <is>
          <t>Individual</t>
        </is>
      </c>
      <c r="I75" s="14" t="n">
        <v>3400000</v>
      </c>
      <c r="J75" s="14" t="n">
        <v>81700</v>
      </c>
      <c r="K75" s="14" t="n">
        <v>16624</v>
      </c>
      <c r="L75" s="14" t="n">
        <v>1</v>
      </c>
      <c r="M75" s="15" t="inlineStr">
        <is>
          <t>Cancelled</t>
        </is>
      </c>
    </row>
    <row r="76">
      <c r="A76" s="7" t="inlineStr">
        <is>
          <t>ADM-MTR-KHI-2024-2071</t>
        </is>
      </c>
      <c r="B76" s="40" t="n">
        <v>45611</v>
      </c>
      <c r="C76" s="7" t="inlineStr">
        <is>
          <t>Karachi Main</t>
        </is>
      </c>
      <c r="D76" s="7" t="inlineStr">
        <is>
          <t>South</t>
        </is>
      </c>
      <c r="E76" s="7" t="inlineStr">
        <is>
          <t>Motor</t>
        </is>
      </c>
      <c r="F76" s="7" t="inlineStr">
        <is>
          <t>Bancassurance</t>
        </is>
      </c>
      <c r="G76" s="7" t="inlineStr">
        <is>
          <t>Hamid Raza</t>
        </is>
      </c>
      <c r="H76" s="7" t="inlineStr">
        <is>
          <t>Corporate</t>
        </is>
      </c>
      <c r="I76" s="11" t="n">
        <v>28000000</v>
      </c>
      <c r="J76" s="11" t="n">
        <v>161500</v>
      </c>
      <c r="K76" s="11" t="n">
        <v>16054</v>
      </c>
      <c r="L76" s="11" t="n">
        <v>1</v>
      </c>
      <c r="M76" s="7" t="inlineStr">
        <is>
          <t>Active</t>
        </is>
      </c>
    </row>
    <row r="77">
      <c r="A77" s="15" t="inlineStr">
        <is>
          <t>ADM-HLT-LHR-2024-2072</t>
        </is>
      </c>
      <c r="B77" s="41" t="n">
        <v>45648</v>
      </c>
      <c r="C77" s="15" t="inlineStr">
        <is>
          <t>Lahore Gulberg</t>
        </is>
      </c>
      <c r="D77" s="15" t="inlineStr">
        <is>
          <t>Central</t>
        </is>
      </c>
      <c r="E77" s="15" t="inlineStr">
        <is>
          <t>Health</t>
        </is>
      </c>
      <c r="F77" s="15" t="inlineStr">
        <is>
          <t>Corporate</t>
        </is>
      </c>
      <c r="G77" s="15" t="inlineStr">
        <is>
          <t>Nimra Saleem</t>
        </is>
      </c>
      <c r="H77" s="15" t="inlineStr">
        <is>
          <t>Corporate</t>
        </is>
      </c>
      <c r="I77" s="14" t="n">
        <v>19000000</v>
      </c>
      <c r="J77" s="14" t="n">
        <v>564300</v>
      </c>
      <c r="K77" s="14" t="n">
        <v>295386</v>
      </c>
      <c r="L77" s="14" t="n">
        <v>1</v>
      </c>
      <c r="M77" s="15" t="inlineStr">
        <is>
          <t>Active</t>
        </is>
      </c>
    </row>
    <row r="78">
      <c r="A78" s="7" t="inlineStr">
        <is>
          <t>ADM-MSC-ISB-2024-2073</t>
        </is>
      </c>
      <c r="B78" s="40" t="n">
        <v>45292</v>
      </c>
      <c r="C78" s="7" t="inlineStr">
        <is>
          <t>Islamabad Blue Area</t>
        </is>
      </c>
      <c r="D78" s="7" t="inlineStr">
        <is>
          <t>North</t>
        </is>
      </c>
      <c r="E78" s="7" t="inlineStr">
        <is>
          <t>Miscellaneous</t>
        </is>
      </c>
      <c r="F78" s="7" t="inlineStr">
        <is>
          <t>Direct</t>
        </is>
      </c>
      <c r="G78" s="7" t="inlineStr">
        <is>
          <t>Tariq Jameel</t>
        </is>
      </c>
      <c r="H78" s="7" t="inlineStr">
        <is>
          <t>Individual</t>
        </is>
      </c>
      <c r="I78" s="11" t="n">
        <v>47000000</v>
      </c>
      <c r="J78" s="11" t="n">
        <v>817800</v>
      </c>
      <c r="K78" s="11" t="n">
        <v>1386052</v>
      </c>
      <c r="L78" s="11" t="n">
        <v>1</v>
      </c>
      <c r="M78" s="7" t="inlineStr">
        <is>
          <t>Renewed</t>
        </is>
      </c>
    </row>
    <row r="79">
      <c r="A79" s="15" t="inlineStr">
        <is>
          <t>ADM-MAR-FSD-2024-2074</t>
        </is>
      </c>
      <c r="B79" s="41" t="n">
        <v>45330</v>
      </c>
      <c r="C79" s="15" t="inlineStr">
        <is>
          <t>Faisalabad</t>
        </is>
      </c>
      <c r="D79" s="15" t="inlineStr">
        <is>
          <t>Central</t>
        </is>
      </c>
      <c r="E79" s="15" t="inlineStr">
        <is>
          <t>Marine Cargo</t>
        </is>
      </c>
      <c r="F79" s="15" t="inlineStr">
        <is>
          <t>Agency</t>
        </is>
      </c>
      <c r="G79" s="15" t="inlineStr">
        <is>
          <t>Nadia Hassan</t>
        </is>
      </c>
      <c r="H79" s="15" t="inlineStr">
        <is>
          <t>Corporate</t>
        </is>
      </c>
      <c r="I79" s="14" t="n">
        <v>47000000</v>
      </c>
      <c r="J79" s="14" t="n">
        <v>809700</v>
      </c>
      <c r="K79" s="14" t="n">
        <v>1107509</v>
      </c>
      <c r="L79" s="14" t="n">
        <v>1</v>
      </c>
      <c r="M79" s="15" t="inlineStr">
        <is>
          <t>Lapsed</t>
        </is>
      </c>
    </row>
    <row r="80">
      <c r="A80" s="7" t="inlineStr">
        <is>
          <t>ADM-ENG-MUL-2024-2075</t>
        </is>
      </c>
      <c r="B80" s="40" t="n">
        <v>45366</v>
      </c>
      <c r="C80" s="7" t="inlineStr">
        <is>
          <t>Multan</t>
        </is>
      </c>
      <c r="D80" s="7" t="inlineStr">
        <is>
          <t>Central</t>
        </is>
      </c>
      <c r="E80" s="7" t="inlineStr">
        <is>
          <t>Engineering</t>
        </is>
      </c>
      <c r="F80" s="7" t="inlineStr">
        <is>
          <t>Bancassurance</t>
        </is>
      </c>
      <c r="G80" s="7" t="inlineStr">
        <is>
          <t>Salman Shah</t>
        </is>
      </c>
      <c r="H80" s="7" t="inlineStr">
        <is>
          <t>Corporate</t>
        </is>
      </c>
      <c r="I80" s="11" t="n">
        <v>28000000</v>
      </c>
      <c r="J80" s="11" t="n">
        <v>314100</v>
      </c>
      <c r="K80" s="11" t="n">
        <v>530669</v>
      </c>
      <c r="L80" s="11" t="n">
        <v>1</v>
      </c>
      <c r="M80" s="7" t="inlineStr">
        <is>
          <t>Cancelled</t>
        </is>
      </c>
    </row>
    <row r="81">
      <c r="A81" s="15" t="inlineStr">
        <is>
          <t>ADM-FIR-PEW-2024-2076</t>
        </is>
      </c>
      <c r="B81" s="41" t="n">
        <v>45404</v>
      </c>
      <c r="C81" s="15" t="inlineStr">
        <is>
          <t>Peshawar</t>
        </is>
      </c>
      <c r="D81" s="15" t="inlineStr">
        <is>
          <t>North</t>
        </is>
      </c>
      <c r="E81" s="15" t="inlineStr">
        <is>
          <t>Fire &amp; Property</t>
        </is>
      </c>
      <c r="F81" s="15" t="inlineStr">
        <is>
          <t>Corporate</t>
        </is>
      </c>
      <c r="G81" s="15" t="inlineStr">
        <is>
          <t>Komal Bashir</t>
        </is>
      </c>
      <c r="H81" s="15" t="inlineStr">
        <is>
          <t>Individual</t>
        </is>
      </c>
      <c r="I81" s="14" t="n">
        <v>3400000</v>
      </c>
      <c r="J81" s="14" t="n">
        <v>56300</v>
      </c>
      <c r="K81" s="14" t="n">
        <v>84054</v>
      </c>
      <c r="L81" s="14" t="n">
        <v>1</v>
      </c>
      <c r="M81" s="15" t="inlineStr">
        <is>
          <t>Active</t>
        </is>
      </c>
    </row>
    <row r="82">
      <c r="A82" s="7" t="inlineStr">
        <is>
          <t>ADM-TRV-QTA-2024-2077</t>
        </is>
      </c>
      <c r="B82" s="40" t="n">
        <v>45413</v>
      </c>
      <c r="C82" s="7" t="inlineStr">
        <is>
          <t>Quetta</t>
        </is>
      </c>
      <c r="D82" s="7" t="inlineStr">
        <is>
          <t>South</t>
        </is>
      </c>
      <c r="E82" s="7" t="inlineStr">
        <is>
          <t>Travel</t>
        </is>
      </c>
      <c r="F82" s="7" t="inlineStr">
        <is>
          <t>Direct</t>
        </is>
      </c>
      <c r="G82" s="7" t="inlineStr">
        <is>
          <t>Waqar Younis Khan</t>
        </is>
      </c>
      <c r="H82" s="7" t="inlineStr">
        <is>
          <t>Corporate</t>
        </is>
      </c>
      <c r="I82" s="11" t="n">
        <v>1200000</v>
      </c>
      <c r="J82" s="11" t="n">
        <v>20700</v>
      </c>
      <c r="K82" s="11" t="n">
        <v>4341</v>
      </c>
      <c r="L82" s="11" t="n">
        <v>1</v>
      </c>
      <c r="M82" s="7" t="inlineStr">
        <is>
          <t>Active</t>
        </is>
      </c>
    </row>
    <row r="83">
      <c r="A83" s="15" t="inlineStr">
        <is>
          <t>ADM-MTR-HYD-2024-2078</t>
        </is>
      </c>
      <c r="B83" s="41" t="n">
        <v>45451</v>
      </c>
      <c r="C83" s="15" t="inlineStr">
        <is>
          <t>Hyderabad</t>
        </is>
      </c>
      <c r="D83" s="15" t="inlineStr">
        <is>
          <t>South</t>
        </is>
      </c>
      <c r="E83" s="15" t="inlineStr">
        <is>
          <t>Motor</t>
        </is>
      </c>
      <c r="F83" s="15" t="inlineStr">
        <is>
          <t>Agency</t>
        </is>
      </c>
      <c r="G83" s="15" t="inlineStr">
        <is>
          <t>Amna Zubair</t>
        </is>
      </c>
      <c r="H83" s="15" t="inlineStr">
        <is>
          <t>Corporate</t>
        </is>
      </c>
      <c r="I83" s="14" t="n">
        <v>1200000</v>
      </c>
      <c r="J83" s="14" t="n">
        <v>11300</v>
      </c>
      <c r="K83" s="14" t="n">
        <v>14476</v>
      </c>
      <c r="L83" s="14" t="n">
        <v>1</v>
      </c>
      <c r="M83" s="15" t="inlineStr">
        <is>
          <t>Renewed</t>
        </is>
      </c>
    </row>
    <row r="84">
      <c r="A84" s="7" t="inlineStr">
        <is>
          <t>ADM-HLT-SKT-2024-2079</t>
        </is>
      </c>
      <c r="B84" s="40" t="n">
        <v>45488</v>
      </c>
      <c r="C84" s="7" t="inlineStr">
        <is>
          <t>Sialkot</t>
        </is>
      </c>
      <c r="D84" s="7" t="inlineStr">
        <is>
          <t>Central</t>
        </is>
      </c>
      <c r="E84" s="7" t="inlineStr">
        <is>
          <t>Health</t>
        </is>
      </c>
      <c r="F84" s="7" t="inlineStr">
        <is>
          <t>Bancassurance</t>
        </is>
      </c>
      <c r="G84" s="7" t="inlineStr">
        <is>
          <t>Rizwan Ali Soomro</t>
        </is>
      </c>
      <c r="H84" s="7" t="inlineStr">
        <is>
          <t>Individual</t>
        </is>
      </c>
      <c r="I84" s="11" t="n">
        <v>6800000</v>
      </c>
      <c r="J84" s="11" t="n">
        <v>190700</v>
      </c>
      <c r="K84" s="11" t="n">
        <v>63087</v>
      </c>
      <c r="L84" s="11" t="n">
        <v>1</v>
      </c>
      <c r="M84" s="7" t="inlineStr">
        <is>
          <t>Lapsed</t>
        </is>
      </c>
    </row>
    <row r="85">
      <c r="A85" s="15" t="inlineStr">
        <is>
          <t>ADM-MSC-RWP-2024-2080</t>
        </is>
      </c>
      <c r="B85" s="41" t="n">
        <v>45526</v>
      </c>
      <c r="C85" s="15" t="inlineStr">
        <is>
          <t>Rawalpindi</t>
        </is>
      </c>
      <c r="D85" s="15" t="inlineStr">
        <is>
          <t>North</t>
        </is>
      </c>
      <c r="E85" s="15" t="inlineStr">
        <is>
          <t>Miscellaneous</t>
        </is>
      </c>
      <c r="F85" s="15" t="inlineStr">
        <is>
          <t>Corporate</t>
        </is>
      </c>
      <c r="G85" s="15" t="inlineStr">
        <is>
          <t>Farhan Dar</t>
        </is>
      </c>
      <c r="H85" s="15" t="inlineStr">
        <is>
          <t>Corporate</t>
        </is>
      </c>
      <c r="I85" s="14" t="n">
        <v>3400000</v>
      </c>
      <c r="J85" s="14" t="n">
        <v>48700</v>
      </c>
      <c r="K85" s="14" t="n">
        <v>21523</v>
      </c>
      <c r="L85" s="14" t="n">
        <v>1</v>
      </c>
      <c r="M85" s="15" t="inlineStr">
        <is>
          <t>Cancelled</t>
        </is>
      </c>
    </row>
    <row r="86">
      <c r="A86" s="7" t="inlineStr">
        <is>
          <t>ADM-MAR-KHI-2024-2081</t>
        </is>
      </c>
      <c r="B86" s="40" t="n">
        <v>45536</v>
      </c>
      <c r="C86" s="7" t="inlineStr">
        <is>
          <t>Karachi Main</t>
        </is>
      </c>
      <c r="D86" s="7" t="inlineStr">
        <is>
          <t>South</t>
        </is>
      </c>
      <c r="E86" s="7" t="inlineStr">
        <is>
          <t>Marine Cargo</t>
        </is>
      </c>
      <c r="F86" s="7" t="inlineStr">
        <is>
          <t>Direct</t>
        </is>
      </c>
      <c r="G86" s="7" t="inlineStr">
        <is>
          <t>Sobia Naz</t>
        </is>
      </c>
      <c r="H86" s="7" t="inlineStr">
        <is>
          <t>Corporate</t>
        </is>
      </c>
      <c r="I86" s="11" t="n">
        <v>47000000</v>
      </c>
      <c r="J86" s="11" t="n">
        <v>237300</v>
      </c>
      <c r="K86" s="11" t="n">
        <v>327198</v>
      </c>
      <c r="L86" s="11" t="n">
        <v>1</v>
      </c>
      <c r="M86" s="7" t="inlineStr">
        <is>
          <t>Active</t>
        </is>
      </c>
    </row>
    <row r="87">
      <c r="A87" s="15" t="inlineStr">
        <is>
          <t>ADM-ENG-LHR-2024-2082</t>
        </is>
      </c>
      <c r="B87" s="41" t="n">
        <v>45573</v>
      </c>
      <c r="C87" s="15" t="inlineStr">
        <is>
          <t>Lahore Gulberg</t>
        </is>
      </c>
      <c r="D87" s="15" t="inlineStr">
        <is>
          <t>Central</t>
        </is>
      </c>
      <c r="E87" s="15" t="inlineStr">
        <is>
          <t>Engineering</t>
        </is>
      </c>
      <c r="F87" s="15" t="inlineStr">
        <is>
          <t>Agency</t>
        </is>
      </c>
      <c r="G87" s="15" t="inlineStr">
        <is>
          <t>Junaid Akram</t>
        </is>
      </c>
      <c r="H87" s="15" t="inlineStr">
        <is>
          <t>Individual</t>
        </is>
      </c>
      <c r="I87" s="14" t="n">
        <v>72000000</v>
      </c>
      <c r="J87" s="14" t="n">
        <v>1764300</v>
      </c>
      <c r="K87" s="14" t="n">
        <v>1315665</v>
      </c>
      <c r="L87" s="14" t="n">
        <v>1</v>
      </c>
      <c r="M87" s="15" t="inlineStr">
        <is>
          <t>Active</t>
        </is>
      </c>
    </row>
    <row r="88">
      <c r="A88" s="7" t="inlineStr">
        <is>
          <t>ADM-FIR-ISB-2024-2083</t>
        </is>
      </c>
      <c r="B88" s="40" t="n">
        <v>45611</v>
      </c>
      <c r="C88" s="7" t="inlineStr">
        <is>
          <t>Islamabad Blue Area</t>
        </is>
      </c>
      <c r="D88" s="7" t="inlineStr">
        <is>
          <t>North</t>
        </is>
      </c>
      <c r="E88" s="7" t="inlineStr">
        <is>
          <t>Fire &amp; Property</t>
        </is>
      </c>
      <c r="F88" s="7" t="inlineStr">
        <is>
          <t>Bancassurance</t>
        </is>
      </c>
      <c r="G88" s="7" t="inlineStr">
        <is>
          <t>Hamid Raza</t>
        </is>
      </c>
      <c r="H88" s="7" t="inlineStr">
        <is>
          <t>Corporate</t>
        </is>
      </c>
      <c r="I88" s="11" t="n">
        <v>28000000</v>
      </c>
      <c r="J88" s="11" t="n">
        <v>406100</v>
      </c>
      <c r="K88" s="11" t="n">
        <v>201854</v>
      </c>
      <c r="L88" s="11" t="n">
        <v>1</v>
      </c>
      <c r="M88" s="7" t="inlineStr">
        <is>
          <t>Renewed</t>
        </is>
      </c>
    </row>
    <row r="89">
      <c r="A89" s="15" t="inlineStr">
        <is>
          <t>ADM-TRV-FSD-2024-2084</t>
        </is>
      </c>
      <c r="B89" s="41" t="n">
        <v>45648</v>
      </c>
      <c r="C89" s="15" t="inlineStr">
        <is>
          <t>Faisalabad</t>
        </is>
      </c>
      <c r="D89" s="15" t="inlineStr">
        <is>
          <t>Central</t>
        </is>
      </c>
      <c r="E89" s="15" t="inlineStr">
        <is>
          <t>Travel</t>
        </is>
      </c>
      <c r="F89" s="15" t="inlineStr">
        <is>
          <t>Corporate</t>
        </is>
      </c>
      <c r="G89" s="15" t="inlineStr">
        <is>
          <t>Nimra Saleem</t>
        </is>
      </c>
      <c r="H89" s="15" t="inlineStr">
        <is>
          <t>Corporate</t>
        </is>
      </c>
      <c r="I89" s="14" t="n">
        <v>11500000</v>
      </c>
      <c r="J89" s="14" t="n">
        <v>202500</v>
      </c>
      <c r="K89" s="14" t="n">
        <v>158654</v>
      </c>
      <c r="L89" s="14" t="n">
        <v>1</v>
      </c>
      <c r="M89" s="15" t="inlineStr">
        <is>
          <t>Lapsed</t>
        </is>
      </c>
    </row>
    <row r="90">
      <c r="A90" s="7" t="inlineStr">
        <is>
          <t>ADM-MTR-MUL-2024-2085</t>
        </is>
      </c>
      <c r="B90" s="40" t="n">
        <v>45292</v>
      </c>
      <c r="C90" s="7" t="inlineStr">
        <is>
          <t>Multan</t>
        </is>
      </c>
      <c r="D90" s="7" t="inlineStr">
        <is>
          <t>Central</t>
        </is>
      </c>
      <c r="E90" s="7" t="inlineStr">
        <is>
          <t>Motor</t>
        </is>
      </c>
      <c r="F90" s="7" t="inlineStr">
        <is>
          <t>Direct</t>
        </is>
      </c>
      <c r="G90" s="7" t="inlineStr">
        <is>
          <t>Tariq Jameel</t>
        </is>
      </c>
      <c r="H90" s="7" t="inlineStr">
        <is>
          <t>Individual</t>
        </is>
      </c>
      <c r="I90" s="11" t="n">
        <v>6800000</v>
      </c>
      <c r="J90" s="11" t="n">
        <v>36100</v>
      </c>
      <c r="K90" s="11" t="n">
        <v>50561</v>
      </c>
      <c r="L90" s="11" t="n">
        <v>1</v>
      </c>
      <c r="M90" s="7" t="inlineStr">
        <is>
          <t>Cancelled</t>
        </is>
      </c>
    </row>
    <row r="91">
      <c r="A91" s="15" t="inlineStr">
        <is>
          <t>ADM-HLT-PEW-2024-2086</t>
        </is>
      </c>
      <c r="B91" s="41" t="n">
        <v>45330</v>
      </c>
      <c r="C91" s="15" t="inlineStr">
        <is>
          <t>Peshawar</t>
        </is>
      </c>
      <c r="D91" s="15" t="inlineStr">
        <is>
          <t>North</t>
        </is>
      </c>
      <c r="E91" s="15" t="inlineStr">
        <is>
          <t>Health</t>
        </is>
      </c>
      <c r="F91" s="15" t="inlineStr">
        <is>
          <t>Agency</t>
        </is>
      </c>
      <c r="G91" s="15" t="inlineStr">
        <is>
          <t>Nadia Hassan</t>
        </is>
      </c>
      <c r="H91" s="15" t="inlineStr">
        <is>
          <t>Corporate</t>
        </is>
      </c>
      <c r="I91" s="14" t="n">
        <v>6800000</v>
      </c>
      <c r="J91" s="14" t="n">
        <v>140600</v>
      </c>
      <c r="K91" s="14" t="n">
        <v>238796</v>
      </c>
      <c r="L91" s="14" t="n">
        <v>1</v>
      </c>
      <c r="M91" s="15" t="inlineStr">
        <is>
          <t>Active</t>
        </is>
      </c>
    </row>
    <row r="92">
      <c r="A92" s="7" t="inlineStr">
        <is>
          <t>ADM-MSC-QTA-2024-2087</t>
        </is>
      </c>
      <c r="B92" s="40" t="n">
        <v>45366</v>
      </c>
      <c r="C92" s="7" t="inlineStr">
        <is>
          <t>Quetta</t>
        </is>
      </c>
      <c r="D92" s="7" t="inlineStr">
        <is>
          <t>South</t>
        </is>
      </c>
      <c r="E92" s="7" t="inlineStr">
        <is>
          <t>Miscellaneous</t>
        </is>
      </c>
      <c r="F92" s="7" t="inlineStr">
        <is>
          <t>Bancassurance</t>
        </is>
      </c>
      <c r="G92" s="7" t="inlineStr">
        <is>
          <t>Salman Shah</t>
        </is>
      </c>
      <c r="H92" s="7" t="inlineStr">
        <is>
          <t>Corporate</t>
        </is>
      </c>
      <c r="I92" s="11" t="n">
        <v>19000000</v>
      </c>
      <c r="J92" s="11" t="n">
        <v>350400</v>
      </c>
      <c r="K92" s="11" t="n">
        <v>664530</v>
      </c>
      <c r="L92" s="11" t="n">
        <v>1</v>
      </c>
      <c r="M92" s="7" t="inlineStr">
        <is>
          <t>Active</t>
        </is>
      </c>
    </row>
    <row r="93">
      <c r="A93" s="15" t="inlineStr">
        <is>
          <t>ADM-MAR-HYD-2024-2088</t>
        </is>
      </c>
      <c r="B93" s="41" t="n">
        <v>45404</v>
      </c>
      <c r="C93" s="15" t="inlineStr">
        <is>
          <t>Hyderabad</t>
        </is>
      </c>
      <c r="D93" s="15" t="inlineStr">
        <is>
          <t>South</t>
        </is>
      </c>
      <c r="E93" s="15" t="inlineStr">
        <is>
          <t>Marine Cargo</t>
        </is>
      </c>
      <c r="F93" s="15" t="inlineStr">
        <is>
          <t>Corporate</t>
        </is>
      </c>
      <c r="G93" s="15" t="inlineStr">
        <is>
          <t>Komal Bashir</t>
        </is>
      </c>
      <c r="H93" s="15" t="inlineStr">
        <is>
          <t>Individual</t>
        </is>
      </c>
      <c r="I93" s="14" t="n">
        <v>72000000</v>
      </c>
      <c r="J93" s="14" t="n">
        <v>1685500</v>
      </c>
      <c r="K93" s="14" t="n">
        <v>1657983</v>
      </c>
      <c r="L93" s="14" t="n">
        <v>1</v>
      </c>
      <c r="M93" s="15" t="inlineStr">
        <is>
          <t>Renewed</t>
        </is>
      </c>
    </row>
    <row r="94">
      <c r="A94" s="7" t="inlineStr">
        <is>
          <t>ADM-ENG-SKT-2024-2089</t>
        </is>
      </c>
      <c r="B94" s="40" t="n">
        <v>45413</v>
      </c>
      <c r="C94" s="7" t="inlineStr">
        <is>
          <t>Sialkot</t>
        </is>
      </c>
      <c r="D94" s="7" t="inlineStr">
        <is>
          <t>Central</t>
        </is>
      </c>
      <c r="E94" s="7" t="inlineStr">
        <is>
          <t>Engineering</t>
        </is>
      </c>
      <c r="F94" s="7" t="inlineStr">
        <is>
          <t>Direct</t>
        </is>
      </c>
      <c r="G94" s="7" t="inlineStr">
        <is>
          <t>Waqar Younis Khan</t>
        </is>
      </c>
      <c r="H94" s="7" t="inlineStr">
        <is>
          <t>Corporate</t>
        </is>
      </c>
      <c r="I94" s="11" t="n">
        <v>47000000</v>
      </c>
      <c r="J94" s="11" t="n">
        <v>988500</v>
      </c>
      <c r="K94" s="11" t="n">
        <v>1297814</v>
      </c>
      <c r="L94" s="11" t="n">
        <v>1</v>
      </c>
      <c r="M94" s="7" t="inlineStr">
        <is>
          <t>Lapsed</t>
        </is>
      </c>
    </row>
    <row r="95">
      <c r="A95" s="15" t="inlineStr">
        <is>
          <t>ADM-FIR-RWP-2024-2090</t>
        </is>
      </c>
      <c r="B95" s="41" t="n">
        <v>45451</v>
      </c>
      <c r="C95" s="15" t="inlineStr">
        <is>
          <t>Rawalpindi</t>
        </is>
      </c>
      <c r="D95" s="15" t="inlineStr">
        <is>
          <t>North</t>
        </is>
      </c>
      <c r="E95" s="15" t="inlineStr">
        <is>
          <t>Fire &amp; Property</t>
        </is>
      </c>
      <c r="F95" s="15" t="inlineStr">
        <is>
          <t>Agency</t>
        </is>
      </c>
      <c r="G95" s="15" t="inlineStr">
        <is>
          <t>Amna Zubair</t>
        </is>
      </c>
      <c r="H95" s="15" t="inlineStr">
        <is>
          <t>Corporate</t>
        </is>
      </c>
      <c r="I95" s="14" t="n">
        <v>19000000</v>
      </c>
      <c r="J95" s="14" t="n">
        <v>215900</v>
      </c>
      <c r="K95" s="14" t="n">
        <v>64887</v>
      </c>
      <c r="L95" s="14" t="n">
        <v>1</v>
      </c>
      <c r="M95" s="15" t="inlineStr">
        <is>
          <t>Cancelled</t>
        </is>
      </c>
    </row>
    <row r="96">
      <c r="A96" s="7" t="inlineStr">
        <is>
          <t>ADM-TRV-KHI-2024-2091</t>
        </is>
      </c>
      <c r="B96" s="40" t="n">
        <v>45488</v>
      </c>
      <c r="C96" s="7" t="inlineStr">
        <is>
          <t>Karachi Main</t>
        </is>
      </c>
      <c r="D96" s="7" t="inlineStr">
        <is>
          <t>South</t>
        </is>
      </c>
      <c r="E96" s="7" t="inlineStr">
        <is>
          <t>Travel</t>
        </is>
      </c>
      <c r="F96" s="7" t="inlineStr">
        <is>
          <t>Bancassurance</t>
        </is>
      </c>
      <c r="G96" s="7" t="inlineStr">
        <is>
          <t>Rizwan Ali Soomro</t>
        </is>
      </c>
      <c r="H96" s="7" t="inlineStr">
        <is>
          <t>Individual</t>
        </is>
      </c>
      <c r="I96" s="11" t="n">
        <v>47000000</v>
      </c>
      <c r="J96" s="11" t="n">
        <v>268400</v>
      </c>
      <c r="K96" s="11" t="n">
        <v>149803</v>
      </c>
      <c r="L96" s="11" t="n">
        <v>1</v>
      </c>
      <c r="M96" s="7" t="inlineStr">
        <is>
          <t>Active</t>
        </is>
      </c>
    </row>
    <row r="97">
      <c r="A97" s="15" t="inlineStr">
        <is>
          <t>ADM-MTR-LHR-2024-2092</t>
        </is>
      </c>
      <c r="B97" s="41" t="n">
        <v>45526</v>
      </c>
      <c r="C97" s="15" t="inlineStr">
        <is>
          <t>Lahore Gulberg</t>
        </is>
      </c>
      <c r="D97" s="15" t="inlineStr">
        <is>
          <t>Central</t>
        </is>
      </c>
      <c r="E97" s="15" t="inlineStr">
        <is>
          <t>Motor</t>
        </is>
      </c>
      <c r="F97" s="15" t="inlineStr">
        <is>
          <t>Corporate</t>
        </is>
      </c>
      <c r="G97" s="15" t="inlineStr">
        <is>
          <t>Farhan Dar</t>
        </is>
      </c>
      <c r="H97" s="15" t="inlineStr">
        <is>
          <t>Corporate</t>
        </is>
      </c>
      <c r="I97" s="14" t="n">
        <v>47000000</v>
      </c>
      <c r="J97" s="14" t="n">
        <v>1406900</v>
      </c>
      <c r="K97" s="14" t="n">
        <v>295893</v>
      </c>
      <c r="L97" s="14" t="n">
        <v>1</v>
      </c>
      <c r="M97" s="15" t="inlineStr">
        <is>
          <t>Active</t>
        </is>
      </c>
    </row>
    <row r="98">
      <c r="A98" s="7" t="inlineStr">
        <is>
          <t>ADM-HLT-ISB-2024-2093</t>
        </is>
      </c>
      <c r="B98" s="40" t="n">
        <v>45536</v>
      </c>
      <c r="C98" s="7" t="inlineStr">
        <is>
          <t>Islamabad Blue Area</t>
        </is>
      </c>
      <c r="D98" s="7" t="inlineStr">
        <is>
          <t>North</t>
        </is>
      </c>
      <c r="E98" s="7" t="inlineStr">
        <is>
          <t>Health</t>
        </is>
      </c>
      <c r="F98" s="7" t="inlineStr">
        <is>
          <t>Direct</t>
        </is>
      </c>
      <c r="G98" s="7" t="inlineStr">
        <is>
          <t>Sobia Naz</t>
        </is>
      </c>
      <c r="H98" s="7" t="inlineStr">
        <is>
          <t>Corporate</t>
        </is>
      </c>
      <c r="I98" s="11" t="n">
        <v>19000000</v>
      </c>
      <c r="J98" s="11" t="n">
        <v>321300</v>
      </c>
      <c r="K98" s="11" t="n">
        <v>26393</v>
      </c>
      <c r="L98" s="11" t="n">
        <v>1</v>
      </c>
      <c r="M98" s="7" t="inlineStr">
        <is>
          <t>Renewed</t>
        </is>
      </c>
    </row>
    <row r="99">
      <c r="A99" s="15" t="inlineStr">
        <is>
          <t>ADM-MSC-FSD-2024-2094</t>
        </is>
      </c>
      <c r="B99" s="41" t="n">
        <v>45573</v>
      </c>
      <c r="C99" s="15" t="inlineStr">
        <is>
          <t>Faisalabad</t>
        </is>
      </c>
      <c r="D99" s="15" t="inlineStr">
        <is>
          <t>Central</t>
        </is>
      </c>
      <c r="E99" s="15" t="inlineStr">
        <is>
          <t>Miscellaneous</t>
        </is>
      </c>
      <c r="F99" s="15" t="inlineStr">
        <is>
          <t>Agency</t>
        </is>
      </c>
      <c r="G99" s="15" t="inlineStr">
        <is>
          <t>Junaid Akram</t>
        </is>
      </c>
      <c r="H99" s="15" t="inlineStr">
        <is>
          <t>Individual</t>
        </is>
      </c>
      <c r="I99" s="14" t="n">
        <v>47000000</v>
      </c>
      <c r="J99" s="14" t="n">
        <v>941400</v>
      </c>
      <c r="K99" s="14" t="n">
        <v>1091541</v>
      </c>
      <c r="L99" s="14" t="n">
        <v>1</v>
      </c>
      <c r="M99" s="15" t="inlineStr">
        <is>
          <t>Lapsed</t>
        </is>
      </c>
    </row>
    <row r="100">
      <c r="A100" s="7" t="inlineStr">
        <is>
          <t>ADM-MAR-MUL-2024-2095</t>
        </is>
      </c>
      <c r="B100" s="40" t="n">
        <v>45611</v>
      </c>
      <c r="C100" s="7" t="inlineStr">
        <is>
          <t>Multan</t>
        </is>
      </c>
      <c r="D100" s="7" t="inlineStr">
        <is>
          <t>Central</t>
        </is>
      </c>
      <c r="E100" s="7" t="inlineStr">
        <is>
          <t>Marine Cargo</t>
        </is>
      </c>
      <c r="F100" s="7" t="inlineStr">
        <is>
          <t>Bancassurance</t>
        </is>
      </c>
      <c r="G100" s="7" t="inlineStr">
        <is>
          <t>Hamid Raza</t>
        </is>
      </c>
      <c r="H100" s="7" t="inlineStr">
        <is>
          <t>Corporate</t>
        </is>
      </c>
      <c r="I100" s="11" t="n">
        <v>28000000</v>
      </c>
      <c r="J100" s="11" t="n">
        <v>839200</v>
      </c>
      <c r="K100" s="11" t="n">
        <v>226378</v>
      </c>
      <c r="L100" s="11" t="n">
        <v>1</v>
      </c>
      <c r="M100" s="7" t="inlineStr">
        <is>
          <t>Cancelled</t>
        </is>
      </c>
    </row>
    <row r="101">
      <c r="A101" s="15" t="inlineStr">
        <is>
          <t>ADM-ENG-PEW-2024-2096</t>
        </is>
      </c>
      <c r="B101" s="41" t="n">
        <v>45648</v>
      </c>
      <c r="C101" s="15" t="inlineStr">
        <is>
          <t>Peshawar</t>
        </is>
      </c>
      <c r="D101" s="15" t="inlineStr">
        <is>
          <t>North</t>
        </is>
      </c>
      <c r="E101" s="15" t="inlineStr">
        <is>
          <t>Engineering</t>
        </is>
      </c>
      <c r="F101" s="15" t="inlineStr">
        <is>
          <t>Corporate</t>
        </is>
      </c>
      <c r="G101" s="15" t="inlineStr">
        <is>
          <t>Nimra Saleem</t>
        </is>
      </c>
      <c r="H101" s="15" t="inlineStr">
        <is>
          <t>Corporate</t>
        </is>
      </c>
      <c r="I101" s="14" t="n">
        <v>19000000</v>
      </c>
      <c r="J101" s="14" t="n">
        <v>542800</v>
      </c>
      <c r="K101" s="14" t="n">
        <v>248383</v>
      </c>
      <c r="L101" s="14" t="n">
        <v>1</v>
      </c>
      <c r="M101" s="15" t="inlineStr">
        <is>
          <t>Active</t>
        </is>
      </c>
    </row>
    <row r="102">
      <c r="A102" s="7" t="inlineStr">
        <is>
          <t>ADM-FIR-QTA-2024-2097</t>
        </is>
      </c>
      <c r="B102" s="40" t="n">
        <v>45292</v>
      </c>
      <c r="C102" s="7" t="inlineStr">
        <is>
          <t>Quetta</t>
        </is>
      </c>
      <c r="D102" s="7" t="inlineStr">
        <is>
          <t>South</t>
        </is>
      </c>
      <c r="E102" s="7" t="inlineStr">
        <is>
          <t>Fire &amp; Property</t>
        </is>
      </c>
      <c r="F102" s="7" t="inlineStr">
        <is>
          <t>Direct</t>
        </is>
      </c>
      <c r="G102" s="7" t="inlineStr">
        <is>
          <t>Tariq Jameel</t>
        </is>
      </c>
      <c r="H102" s="7" t="inlineStr">
        <is>
          <t>Individual</t>
        </is>
      </c>
      <c r="I102" s="11" t="n">
        <v>1200000</v>
      </c>
      <c r="J102" s="11" t="n">
        <v>16300</v>
      </c>
      <c r="K102" s="11" t="n">
        <v>28348</v>
      </c>
      <c r="L102" s="11" t="n">
        <v>1</v>
      </c>
      <c r="M102" s="7" t="inlineStr">
        <is>
          <t>Active</t>
        </is>
      </c>
    </row>
    <row r="103">
      <c r="A103" s="15" t="inlineStr">
        <is>
          <t>ADM-TRV-HYD-2024-2098</t>
        </is>
      </c>
      <c r="B103" s="41" t="n">
        <v>45330</v>
      </c>
      <c r="C103" s="15" t="inlineStr">
        <is>
          <t>Hyderabad</t>
        </is>
      </c>
      <c r="D103" s="15" t="inlineStr">
        <is>
          <t>South</t>
        </is>
      </c>
      <c r="E103" s="15" t="inlineStr">
        <is>
          <t>Travel</t>
        </is>
      </c>
      <c r="F103" s="15" t="inlineStr">
        <is>
          <t>Agency</t>
        </is>
      </c>
      <c r="G103" s="15" t="inlineStr">
        <is>
          <t>Nadia Hassan</t>
        </is>
      </c>
      <c r="H103" s="15" t="inlineStr">
        <is>
          <t>Corporate</t>
        </is>
      </c>
      <c r="I103" s="14" t="n">
        <v>28000000</v>
      </c>
      <c r="J103" s="14" t="n">
        <v>753600</v>
      </c>
      <c r="K103" s="14" t="n">
        <v>624051</v>
      </c>
      <c r="L103" s="14" t="n">
        <v>1</v>
      </c>
      <c r="M103" s="15" t="inlineStr">
        <is>
          <t>Renewed</t>
        </is>
      </c>
    </row>
    <row r="104">
      <c r="A104" s="7" t="inlineStr">
        <is>
          <t>ADM-MTR-SKT-2024-2099</t>
        </is>
      </c>
      <c r="B104" s="40" t="n">
        <v>45366</v>
      </c>
      <c r="C104" s="7" t="inlineStr">
        <is>
          <t>Sialkot</t>
        </is>
      </c>
      <c r="D104" s="7" t="inlineStr">
        <is>
          <t>Central</t>
        </is>
      </c>
      <c r="E104" s="7" t="inlineStr">
        <is>
          <t>Motor</t>
        </is>
      </c>
      <c r="F104" s="7" t="inlineStr">
        <is>
          <t>Bancassurance</t>
        </is>
      </c>
      <c r="G104" s="7" t="inlineStr">
        <is>
          <t>Salman Shah</t>
        </is>
      </c>
      <c r="H104" s="7" t="inlineStr">
        <is>
          <t>Corporate</t>
        </is>
      </c>
      <c r="I104" s="11" t="n">
        <v>28000000</v>
      </c>
      <c r="J104" s="11" t="n">
        <v>858000</v>
      </c>
      <c r="K104" s="11" t="n">
        <v>710027</v>
      </c>
      <c r="L104" s="11" t="n">
        <v>1</v>
      </c>
      <c r="M104" s="7" t="inlineStr">
        <is>
          <t>Lapsed</t>
        </is>
      </c>
    </row>
    <row r="105">
      <c r="A105" s="15" t="inlineStr">
        <is>
          <t>ADM-HLT-RWP-2024-2100</t>
        </is>
      </c>
      <c r="B105" s="41" t="n">
        <v>45404</v>
      </c>
      <c r="C105" s="15" t="inlineStr">
        <is>
          <t>Rawalpindi</t>
        </is>
      </c>
      <c r="D105" s="15" t="inlineStr">
        <is>
          <t>North</t>
        </is>
      </c>
      <c r="E105" s="15" t="inlineStr">
        <is>
          <t>Health</t>
        </is>
      </c>
      <c r="F105" s="15" t="inlineStr">
        <is>
          <t>Corporate</t>
        </is>
      </c>
      <c r="G105" s="15" t="inlineStr">
        <is>
          <t>Komal Bashir</t>
        </is>
      </c>
      <c r="H105" s="15" t="inlineStr">
        <is>
          <t>Individual</t>
        </is>
      </c>
      <c r="I105" s="14" t="n">
        <v>47000000</v>
      </c>
      <c r="J105" s="14" t="n">
        <v>701000</v>
      </c>
      <c r="K105" s="14" t="n">
        <v>1038676</v>
      </c>
      <c r="L105" s="14" t="n">
        <v>1</v>
      </c>
      <c r="M105" s="15" t="inlineStr">
        <is>
          <t>Cancelled</t>
        </is>
      </c>
    </row>
    <row r="106">
      <c r="A106" s="7" t="inlineStr">
        <is>
          <t>ADM-MSC-KHI-2024-2101</t>
        </is>
      </c>
      <c r="B106" s="40" t="n">
        <v>45413</v>
      </c>
      <c r="C106" s="7" t="inlineStr">
        <is>
          <t>Karachi Main</t>
        </is>
      </c>
      <c r="D106" s="7" t="inlineStr">
        <is>
          <t>South</t>
        </is>
      </c>
      <c r="E106" s="7" t="inlineStr">
        <is>
          <t>Miscellaneous</t>
        </is>
      </c>
      <c r="F106" s="7" t="inlineStr">
        <is>
          <t>Direct</t>
        </is>
      </c>
      <c r="G106" s="7" t="inlineStr">
        <is>
          <t>Waqar Younis Khan</t>
        </is>
      </c>
      <c r="H106" s="7" t="inlineStr">
        <is>
          <t>Corporate</t>
        </is>
      </c>
      <c r="I106" s="11" t="n">
        <v>28000000</v>
      </c>
      <c r="J106" s="11" t="n">
        <v>801300</v>
      </c>
      <c r="K106" s="11" t="n">
        <v>179274</v>
      </c>
      <c r="L106" s="11" t="n">
        <v>1</v>
      </c>
      <c r="M106" s="7" t="inlineStr">
        <is>
          <t>Active</t>
        </is>
      </c>
    </row>
    <row r="107">
      <c r="A107" s="15" t="inlineStr">
        <is>
          <t>ADM-MAR-LHR-2024-2102</t>
        </is>
      </c>
      <c r="B107" s="41" t="n">
        <v>45451</v>
      </c>
      <c r="C107" s="15" t="inlineStr">
        <is>
          <t>Lahore Gulberg</t>
        </is>
      </c>
      <c r="D107" s="15" t="inlineStr">
        <is>
          <t>Central</t>
        </is>
      </c>
      <c r="E107" s="15" t="inlineStr">
        <is>
          <t>Marine Cargo</t>
        </is>
      </c>
      <c r="F107" s="15" t="inlineStr">
        <is>
          <t>Agency</t>
        </is>
      </c>
      <c r="G107" s="15" t="inlineStr">
        <is>
          <t>Amna Zubair</t>
        </is>
      </c>
      <c r="H107" s="15" t="inlineStr">
        <is>
          <t>Corporate</t>
        </is>
      </c>
      <c r="I107" s="14" t="n">
        <v>47000000</v>
      </c>
      <c r="J107" s="14" t="n">
        <v>496500</v>
      </c>
      <c r="K107" s="14" t="n">
        <v>654105</v>
      </c>
      <c r="L107" s="14" t="n">
        <v>1</v>
      </c>
      <c r="M107" s="15" t="inlineStr">
        <is>
          <t>Active</t>
        </is>
      </c>
    </row>
    <row r="108">
      <c r="A108" s="7" t="inlineStr">
        <is>
          <t>ADM-ENG-ISB-2024-2103</t>
        </is>
      </c>
      <c r="B108" s="40" t="n">
        <v>45488</v>
      </c>
      <c r="C108" s="7" t="inlineStr">
        <is>
          <t>Islamabad Blue Area</t>
        </is>
      </c>
      <c r="D108" s="7" t="inlineStr">
        <is>
          <t>North</t>
        </is>
      </c>
      <c r="E108" s="7" t="inlineStr">
        <is>
          <t>Engineering</t>
        </is>
      </c>
      <c r="F108" s="7" t="inlineStr">
        <is>
          <t>Bancassurance</t>
        </is>
      </c>
      <c r="G108" s="7" t="inlineStr">
        <is>
          <t>Rizwan Ali Soomro</t>
        </is>
      </c>
      <c r="H108" s="7" t="inlineStr">
        <is>
          <t>Individual</t>
        </is>
      </c>
      <c r="I108" s="11" t="n">
        <v>28000000</v>
      </c>
      <c r="J108" s="11" t="n">
        <v>277500</v>
      </c>
      <c r="K108" s="11" t="n">
        <v>119888</v>
      </c>
      <c r="L108" s="11" t="n">
        <v>1</v>
      </c>
      <c r="M108" s="7" t="inlineStr">
        <is>
          <t>Renewed</t>
        </is>
      </c>
    </row>
    <row r="109">
      <c r="A109" s="15" t="inlineStr">
        <is>
          <t>ADM-FIR-FSD-2024-2104</t>
        </is>
      </c>
      <c r="B109" s="41" t="n">
        <v>45526</v>
      </c>
      <c r="C109" s="15" t="inlineStr">
        <is>
          <t>Faisalabad</t>
        </is>
      </c>
      <c r="D109" s="15" t="inlineStr">
        <is>
          <t>Central</t>
        </is>
      </c>
      <c r="E109" s="15" t="inlineStr">
        <is>
          <t>Fire &amp; Property</t>
        </is>
      </c>
      <c r="F109" s="15" t="inlineStr">
        <is>
          <t>Corporate</t>
        </is>
      </c>
      <c r="G109" s="15" t="inlineStr">
        <is>
          <t>Farhan Dar</t>
        </is>
      </c>
      <c r="H109" s="15" t="inlineStr">
        <is>
          <t>Corporate</t>
        </is>
      </c>
      <c r="I109" s="14" t="n">
        <v>28000000</v>
      </c>
      <c r="J109" s="14" t="n">
        <v>407700</v>
      </c>
      <c r="K109" s="14" t="n">
        <v>165841</v>
      </c>
      <c r="L109" s="14" t="n">
        <v>1</v>
      </c>
      <c r="M109" s="15" t="inlineStr">
        <is>
          <t>Lapsed</t>
        </is>
      </c>
    </row>
    <row r="110">
      <c r="A110" s="7" t="inlineStr">
        <is>
          <t>ADM-TRV-MUL-2024-2105</t>
        </is>
      </c>
      <c r="B110" s="40" t="n">
        <v>45536</v>
      </c>
      <c r="C110" s="7" t="inlineStr">
        <is>
          <t>Multan</t>
        </is>
      </c>
      <c r="D110" s="7" t="inlineStr">
        <is>
          <t>Central</t>
        </is>
      </c>
      <c r="E110" s="7" t="inlineStr">
        <is>
          <t>Travel</t>
        </is>
      </c>
      <c r="F110" s="7" t="inlineStr">
        <is>
          <t>Direct</t>
        </is>
      </c>
      <c r="G110" s="7" t="inlineStr">
        <is>
          <t>Sobia Naz</t>
        </is>
      </c>
      <c r="H110" s="7" t="inlineStr">
        <is>
          <t>Corporate</t>
        </is>
      </c>
      <c r="I110" s="11" t="n">
        <v>6800000</v>
      </c>
      <c r="J110" s="11" t="n">
        <v>165000</v>
      </c>
      <c r="K110" s="11" t="n">
        <v>287159</v>
      </c>
      <c r="L110" s="11" t="n">
        <v>1</v>
      </c>
      <c r="M110" s="7" t="inlineStr">
        <is>
          <t>Cancelled</t>
        </is>
      </c>
    </row>
    <row r="111">
      <c r="A111" s="15" t="inlineStr">
        <is>
          <t>ADM-MTR-PEW-2024-2106</t>
        </is>
      </c>
      <c r="B111" s="41" t="n">
        <v>45573</v>
      </c>
      <c r="C111" s="15" t="inlineStr">
        <is>
          <t>Peshawar</t>
        </is>
      </c>
      <c r="D111" s="15" t="inlineStr">
        <is>
          <t>North</t>
        </is>
      </c>
      <c r="E111" s="15" t="inlineStr">
        <is>
          <t>Motor</t>
        </is>
      </c>
      <c r="F111" s="15" t="inlineStr">
        <is>
          <t>Agency</t>
        </is>
      </c>
      <c r="G111" s="15" t="inlineStr">
        <is>
          <t>Junaid Akram</t>
        </is>
      </c>
      <c r="H111" s="15" t="inlineStr">
        <is>
          <t>Individual</t>
        </is>
      </c>
      <c r="I111" s="14" t="n">
        <v>11500000</v>
      </c>
      <c r="J111" s="14" t="n">
        <v>164500</v>
      </c>
      <c r="K111" s="14" t="n">
        <v>116615</v>
      </c>
      <c r="L111" s="14" t="n">
        <v>1</v>
      </c>
      <c r="M111" s="15" t="inlineStr">
        <is>
          <t>Active</t>
        </is>
      </c>
    </row>
    <row r="112">
      <c r="A112" s="7" t="inlineStr">
        <is>
          <t>ADM-HLT-QTA-2024-2107</t>
        </is>
      </c>
      <c r="B112" s="40" t="n">
        <v>45611</v>
      </c>
      <c r="C112" s="7" t="inlineStr">
        <is>
          <t>Quetta</t>
        </is>
      </c>
      <c r="D112" s="7" t="inlineStr">
        <is>
          <t>South</t>
        </is>
      </c>
      <c r="E112" s="7" t="inlineStr">
        <is>
          <t>Health</t>
        </is>
      </c>
      <c r="F112" s="7" t="inlineStr">
        <is>
          <t>Bancassurance</t>
        </is>
      </c>
      <c r="G112" s="7" t="inlineStr">
        <is>
          <t>Hamid Raza</t>
        </is>
      </c>
      <c r="H112" s="7" t="inlineStr">
        <is>
          <t>Corporate</t>
        </is>
      </c>
      <c r="I112" s="11" t="n">
        <v>1200000</v>
      </c>
      <c r="J112" s="11" t="n">
        <v>20400</v>
      </c>
      <c r="K112" s="11" t="n">
        <v>38497</v>
      </c>
      <c r="L112" s="11" t="n">
        <v>1</v>
      </c>
      <c r="M112" s="7" t="inlineStr">
        <is>
          <t>Active</t>
        </is>
      </c>
    </row>
    <row r="113">
      <c r="A113" s="15" t="inlineStr">
        <is>
          <t>ADM-MSC-HYD-2024-2108</t>
        </is>
      </c>
      <c r="B113" s="41" t="n">
        <v>45648</v>
      </c>
      <c r="C113" s="15" t="inlineStr">
        <is>
          <t>Hyderabad</t>
        </is>
      </c>
      <c r="D113" s="15" t="inlineStr">
        <is>
          <t>South</t>
        </is>
      </c>
      <c r="E113" s="15" t="inlineStr">
        <is>
          <t>Miscellaneous</t>
        </is>
      </c>
      <c r="F113" s="15" t="inlineStr">
        <is>
          <t>Corporate</t>
        </is>
      </c>
      <c r="G113" s="15" t="inlineStr">
        <is>
          <t>Nimra Saleem</t>
        </is>
      </c>
      <c r="H113" s="15" t="inlineStr">
        <is>
          <t>Corporate</t>
        </is>
      </c>
      <c r="I113" s="14" t="n">
        <v>28000000</v>
      </c>
      <c r="J113" s="14" t="n">
        <v>283000</v>
      </c>
      <c r="K113" s="14" t="n">
        <v>228763</v>
      </c>
      <c r="L113" s="14" t="n">
        <v>1</v>
      </c>
      <c r="M113" s="15" t="inlineStr">
        <is>
          <t>Renewed</t>
        </is>
      </c>
    </row>
    <row r="114">
      <c r="A114" s="7" t="inlineStr">
        <is>
          <t>ADM-MAR-SKT-2024-2109</t>
        </is>
      </c>
      <c r="B114" s="40" t="n">
        <v>45292</v>
      </c>
      <c r="C114" s="7" t="inlineStr">
        <is>
          <t>Sialkot</t>
        </is>
      </c>
      <c r="D114" s="7" t="inlineStr">
        <is>
          <t>Central</t>
        </is>
      </c>
      <c r="E114" s="7" t="inlineStr">
        <is>
          <t>Marine Cargo</t>
        </is>
      </c>
      <c r="F114" s="7" t="inlineStr">
        <is>
          <t>Direct</t>
        </is>
      </c>
      <c r="G114" s="7" t="inlineStr">
        <is>
          <t>Tariq Jameel</t>
        </is>
      </c>
      <c r="H114" s="7" t="inlineStr">
        <is>
          <t>Individual</t>
        </is>
      </c>
      <c r="I114" s="11" t="n">
        <v>28000000</v>
      </c>
      <c r="J114" s="11" t="n">
        <v>167600</v>
      </c>
      <c r="K114" s="11" t="n">
        <v>156514</v>
      </c>
      <c r="L114" s="11" t="n">
        <v>1</v>
      </c>
      <c r="M114" s="7" t="inlineStr">
        <is>
          <t>Lapsed</t>
        </is>
      </c>
    </row>
    <row r="115">
      <c r="A115" s="15" t="inlineStr">
        <is>
          <t>ADM-ENG-RWP-2024-2110</t>
        </is>
      </c>
      <c r="B115" s="41" t="n">
        <v>45330</v>
      </c>
      <c r="C115" s="15" t="inlineStr">
        <is>
          <t>Rawalpindi</t>
        </is>
      </c>
      <c r="D115" s="15" t="inlineStr">
        <is>
          <t>North</t>
        </is>
      </c>
      <c r="E115" s="15" t="inlineStr">
        <is>
          <t>Engineering</t>
        </is>
      </c>
      <c r="F115" s="15" t="inlineStr">
        <is>
          <t>Agency</t>
        </is>
      </c>
      <c r="G115" s="15" t="inlineStr">
        <is>
          <t>Nadia Hassan</t>
        </is>
      </c>
      <c r="H115" s="15" t="inlineStr">
        <is>
          <t>Corporate</t>
        </is>
      </c>
      <c r="I115" s="14" t="n">
        <v>72000000</v>
      </c>
      <c r="J115" s="14" t="n">
        <v>1093900</v>
      </c>
      <c r="K115" s="14" t="n">
        <v>310278</v>
      </c>
      <c r="L115" s="14" t="n">
        <v>1</v>
      </c>
      <c r="M115" s="15" t="inlineStr">
        <is>
          <t>Cancelled</t>
        </is>
      </c>
    </row>
    <row r="116">
      <c r="A116" s="7" t="inlineStr">
        <is>
          <t>ADM-FIR-KHI-2024-2111</t>
        </is>
      </c>
      <c r="B116" s="40" t="n">
        <v>45366</v>
      </c>
      <c r="C116" s="7" t="inlineStr">
        <is>
          <t>Karachi Main</t>
        </is>
      </c>
      <c r="D116" s="7" t="inlineStr">
        <is>
          <t>South</t>
        </is>
      </c>
      <c r="E116" s="7" t="inlineStr">
        <is>
          <t>Fire &amp; Property</t>
        </is>
      </c>
      <c r="F116" s="7" t="inlineStr">
        <is>
          <t>Bancassurance</t>
        </is>
      </c>
      <c r="G116" s="7" t="inlineStr">
        <is>
          <t>Salman Shah</t>
        </is>
      </c>
      <c r="H116" s="7" t="inlineStr">
        <is>
          <t>Corporate</t>
        </is>
      </c>
      <c r="I116" s="11" t="n">
        <v>11500000</v>
      </c>
      <c r="J116" s="11" t="n">
        <v>355200</v>
      </c>
      <c r="K116" s="11" t="n">
        <v>7123</v>
      </c>
      <c r="L116" s="11" t="n">
        <v>1</v>
      </c>
      <c r="M116" s="7" t="inlineStr">
        <is>
          <t>Active</t>
        </is>
      </c>
    </row>
    <row r="117">
      <c r="A117" s="15" t="inlineStr">
        <is>
          <t>ADM-TRV-LHR-2024-2112</t>
        </is>
      </c>
      <c r="B117" s="41" t="n">
        <v>45404</v>
      </c>
      <c r="C117" s="15" t="inlineStr">
        <is>
          <t>Lahore Gulberg</t>
        </is>
      </c>
      <c r="D117" s="15" t="inlineStr">
        <is>
          <t>Central</t>
        </is>
      </c>
      <c r="E117" s="15" t="inlineStr">
        <is>
          <t>Travel</t>
        </is>
      </c>
      <c r="F117" s="15" t="inlineStr">
        <is>
          <t>Corporate</t>
        </is>
      </c>
      <c r="G117" s="15" t="inlineStr">
        <is>
          <t>Komal Bashir</t>
        </is>
      </c>
      <c r="H117" s="15" t="inlineStr">
        <is>
          <t>Individual</t>
        </is>
      </c>
      <c r="I117" s="14" t="n">
        <v>28000000</v>
      </c>
      <c r="J117" s="14" t="n">
        <v>555900</v>
      </c>
      <c r="K117" s="14" t="n">
        <v>328413</v>
      </c>
      <c r="L117" s="14" t="n">
        <v>1</v>
      </c>
      <c r="M117" s="15" t="inlineStr">
        <is>
          <t>Active</t>
        </is>
      </c>
    </row>
    <row r="118">
      <c r="A118" s="7" t="inlineStr">
        <is>
          <t>ADM-MTR-ISB-2024-2113</t>
        </is>
      </c>
      <c r="B118" s="40" t="n">
        <v>45413</v>
      </c>
      <c r="C118" s="7" t="inlineStr">
        <is>
          <t>Islamabad Blue Area</t>
        </is>
      </c>
      <c r="D118" s="7" t="inlineStr">
        <is>
          <t>North</t>
        </is>
      </c>
      <c r="E118" s="7" t="inlineStr">
        <is>
          <t>Motor</t>
        </is>
      </c>
      <c r="F118" s="7" t="inlineStr">
        <is>
          <t>Direct</t>
        </is>
      </c>
      <c r="G118" s="7" t="inlineStr">
        <is>
          <t>Waqar Younis Khan</t>
        </is>
      </c>
      <c r="H118" s="7" t="inlineStr">
        <is>
          <t>Corporate</t>
        </is>
      </c>
      <c r="I118" s="11" t="n">
        <v>28000000</v>
      </c>
      <c r="J118" s="11" t="n">
        <v>770600</v>
      </c>
      <c r="K118" s="11" t="n">
        <v>429829</v>
      </c>
      <c r="L118" s="11" t="n">
        <v>1</v>
      </c>
      <c r="M118" s="7" t="inlineStr">
        <is>
          <t>Renewed</t>
        </is>
      </c>
    </row>
    <row r="119">
      <c r="A119" s="15" t="inlineStr">
        <is>
          <t>ADM-HLT-FSD-2024-2114</t>
        </is>
      </c>
      <c r="B119" s="41" t="n">
        <v>45451</v>
      </c>
      <c r="C119" s="15" t="inlineStr">
        <is>
          <t>Faisalabad</t>
        </is>
      </c>
      <c r="D119" s="15" t="inlineStr">
        <is>
          <t>Central</t>
        </is>
      </c>
      <c r="E119" s="15" t="inlineStr">
        <is>
          <t>Health</t>
        </is>
      </c>
      <c r="F119" s="15" t="inlineStr">
        <is>
          <t>Agency</t>
        </is>
      </c>
      <c r="G119" s="15" t="inlineStr">
        <is>
          <t>Amna Zubair</t>
        </is>
      </c>
      <c r="H119" s="15" t="inlineStr">
        <is>
          <t>Corporate</t>
        </is>
      </c>
      <c r="I119" s="14" t="n">
        <v>19000000</v>
      </c>
      <c r="J119" s="14" t="n">
        <v>179600</v>
      </c>
      <c r="K119" s="14" t="n">
        <v>109197</v>
      </c>
      <c r="L119" s="14" t="n">
        <v>1</v>
      </c>
      <c r="M119" s="15" t="inlineStr">
        <is>
          <t>Lapsed</t>
        </is>
      </c>
    </row>
    <row r="120">
      <c r="A120" s="7" t="inlineStr">
        <is>
          <t>ADM-MSC-MUL-2024-2115</t>
        </is>
      </c>
      <c r="B120" s="40" t="n">
        <v>45488</v>
      </c>
      <c r="C120" s="7" t="inlineStr">
        <is>
          <t>Multan</t>
        </is>
      </c>
      <c r="D120" s="7" t="inlineStr">
        <is>
          <t>Central</t>
        </is>
      </c>
      <c r="E120" s="7" t="inlineStr">
        <is>
          <t>Miscellaneous</t>
        </is>
      </c>
      <c r="F120" s="7" t="inlineStr">
        <is>
          <t>Bancassurance</t>
        </is>
      </c>
      <c r="G120" s="7" t="inlineStr">
        <is>
          <t>Rizwan Ali Soomro</t>
        </is>
      </c>
      <c r="H120" s="7" t="inlineStr">
        <is>
          <t>Individual</t>
        </is>
      </c>
      <c r="I120" s="11" t="n">
        <v>11500000</v>
      </c>
      <c r="J120" s="11" t="n">
        <v>268100</v>
      </c>
      <c r="K120" s="11" t="n">
        <v>402308</v>
      </c>
      <c r="L120" s="11" t="n">
        <v>1</v>
      </c>
      <c r="M120" s="7" t="inlineStr">
        <is>
          <t>Cancelled</t>
        </is>
      </c>
    </row>
    <row r="121">
      <c r="A121" s="15" t="inlineStr">
        <is>
          <t>ADM-MAR-PEW-2024-2116</t>
        </is>
      </c>
      <c r="B121" s="41" t="n">
        <v>45526</v>
      </c>
      <c r="C121" s="15" t="inlineStr">
        <is>
          <t>Peshawar</t>
        </is>
      </c>
      <c r="D121" s="15" t="inlineStr">
        <is>
          <t>North</t>
        </is>
      </c>
      <c r="E121" s="15" t="inlineStr">
        <is>
          <t>Marine Cargo</t>
        </is>
      </c>
      <c r="F121" s="15" t="inlineStr">
        <is>
          <t>Corporate</t>
        </is>
      </c>
      <c r="G121" s="15" t="inlineStr">
        <is>
          <t>Farhan Dar</t>
        </is>
      </c>
      <c r="H121" s="15" t="inlineStr">
        <is>
          <t>Corporate</t>
        </is>
      </c>
      <c r="I121" s="14" t="n">
        <v>6800000</v>
      </c>
      <c r="J121" s="14" t="n">
        <v>192200</v>
      </c>
      <c r="K121" s="14" t="n">
        <v>237922</v>
      </c>
      <c r="L121" s="14" t="n">
        <v>1</v>
      </c>
      <c r="M121" s="15" t="inlineStr">
        <is>
          <t>Active</t>
        </is>
      </c>
    </row>
    <row r="122">
      <c r="A122" s="7" t="inlineStr">
        <is>
          <t>ADM-ENG-QTA-2024-2117</t>
        </is>
      </c>
      <c r="B122" s="40" t="n">
        <v>45536</v>
      </c>
      <c r="C122" s="7" t="inlineStr">
        <is>
          <t>Quetta</t>
        </is>
      </c>
      <c r="D122" s="7" t="inlineStr">
        <is>
          <t>South</t>
        </is>
      </c>
      <c r="E122" s="7" t="inlineStr">
        <is>
          <t>Engineering</t>
        </is>
      </c>
      <c r="F122" s="7" t="inlineStr">
        <is>
          <t>Direct</t>
        </is>
      </c>
      <c r="G122" s="7" t="inlineStr">
        <is>
          <t>Sobia Naz</t>
        </is>
      </c>
      <c r="H122" s="7" t="inlineStr">
        <is>
          <t>Corporate</t>
        </is>
      </c>
      <c r="I122" s="11" t="n">
        <v>1200000</v>
      </c>
      <c r="J122" s="11" t="n">
        <v>8500</v>
      </c>
      <c r="K122" s="11" t="n">
        <v>1655</v>
      </c>
      <c r="L122" s="11" t="n">
        <v>1</v>
      </c>
      <c r="M122" s="7" t="inlineStr">
        <is>
          <t>Active</t>
        </is>
      </c>
    </row>
    <row r="123">
      <c r="A123" s="15" t="inlineStr">
        <is>
          <t>ADM-FIR-HYD-2024-2118</t>
        </is>
      </c>
      <c r="B123" s="41" t="n">
        <v>45573</v>
      </c>
      <c r="C123" s="15" t="inlineStr">
        <is>
          <t>Hyderabad</t>
        </is>
      </c>
      <c r="D123" s="15" t="inlineStr">
        <is>
          <t>South</t>
        </is>
      </c>
      <c r="E123" s="15" t="inlineStr">
        <is>
          <t>Fire &amp; Property</t>
        </is>
      </c>
      <c r="F123" s="15" t="inlineStr">
        <is>
          <t>Agency</t>
        </is>
      </c>
      <c r="G123" s="15" t="inlineStr">
        <is>
          <t>Junaid Akram</t>
        </is>
      </c>
      <c r="H123" s="15" t="inlineStr">
        <is>
          <t>Individual</t>
        </is>
      </c>
      <c r="I123" s="14" t="n">
        <v>3400000</v>
      </c>
      <c r="J123" s="14" t="n">
        <v>49100</v>
      </c>
      <c r="K123" s="14" t="n">
        <v>31206</v>
      </c>
      <c r="L123" s="14" t="n">
        <v>1</v>
      </c>
      <c r="M123" s="15" t="inlineStr">
        <is>
          <t>Renewed</t>
        </is>
      </c>
    </row>
    <row r="124">
      <c r="A124" s="7" t="inlineStr">
        <is>
          <t>ADM-TRV-SKT-2024-2119</t>
        </is>
      </c>
      <c r="B124" s="40" t="n">
        <v>45611</v>
      </c>
      <c r="C124" s="7" t="inlineStr">
        <is>
          <t>Sialkot</t>
        </is>
      </c>
      <c r="D124" s="7" t="inlineStr">
        <is>
          <t>Central</t>
        </is>
      </c>
      <c r="E124" s="7" t="inlineStr">
        <is>
          <t>Travel</t>
        </is>
      </c>
      <c r="F124" s="7" t="inlineStr">
        <is>
          <t>Bancassurance</t>
        </is>
      </c>
      <c r="G124" s="7" t="inlineStr">
        <is>
          <t>Hamid Raza</t>
        </is>
      </c>
      <c r="H124" s="7" t="inlineStr">
        <is>
          <t>Corporate</t>
        </is>
      </c>
      <c r="I124" s="11" t="n">
        <v>72000000</v>
      </c>
      <c r="J124" s="11" t="n">
        <v>586400</v>
      </c>
      <c r="K124" s="11" t="n">
        <v>404374</v>
      </c>
      <c r="L124" s="11" t="n">
        <v>1</v>
      </c>
      <c r="M124" s="7" t="inlineStr">
        <is>
          <t>Lapsed</t>
        </is>
      </c>
    </row>
    <row r="125">
      <c r="A125" s="15" t="inlineStr">
        <is>
          <t>ADM-MTR-RWP-2024-2120</t>
        </is>
      </c>
      <c r="B125" s="41" t="n">
        <v>45648</v>
      </c>
      <c r="C125" s="15" t="inlineStr">
        <is>
          <t>Rawalpindi</t>
        </is>
      </c>
      <c r="D125" s="15" t="inlineStr">
        <is>
          <t>North</t>
        </is>
      </c>
      <c r="E125" s="15" t="inlineStr">
        <is>
          <t>Motor</t>
        </is>
      </c>
      <c r="F125" s="15" t="inlineStr">
        <is>
          <t>Corporate</t>
        </is>
      </c>
      <c r="G125" s="15" t="inlineStr">
        <is>
          <t>Nimra Saleem</t>
        </is>
      </c>
      <c r="H125" s="15" t="inlineStr">
        <is>
          <t>Corporate</t>
        </is>
      </c>
      <c r="I125" s="14" t="n">
        <v>6800000</v>
      </c>
      <c r="J125" s="14" t="n">
        <v>111000</v>
      </c>
      <c r="K125" s="14" t="n">
        <v>91930</v>
      </c>
      <c r="L125" s="14" t="n">
        <v>1</v>
      </c>
      <c r="M125" s="15" t="inlineStr">
        <is>
          <t>Cancelled</t>
        </is>
      </c>
    </row>
    <row r="127">
      <c r="A127"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69.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Quarterly Premium Report from 120 daily transactions</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transaction register holds a separate date for every policy. The quarterly report is currently produced by adding a helper column of quarter labels, which a different analyst rebuilds each quarter and which was wrong for two weeks in July.</t>
        </is>
      </c>
    </row>
    <row r="9">
      <c r="A9" s="25" t="inlineStr">
        <is>
          <t>Source data: '3.2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Quarterly Premium Report from 120 daily transactions</t>
        </is>
      </c>
      <c r="C13" s="38" t="inlineStr">
        <is>
          <t>A quarterly report: Year and Quarter on rows, Gross Premium and Policy Count as values, produced by grouping inside the pivot with no helper column. Months shown when a quarter is expanded.</t>
        </is>
      </c>
      <c r="D13" s="37" t="inlineStr">
        <is>
          <t>Chief Financial Officer</t>
        </is>
      </c>
      <c r="E13" s="31" t="n"/>
    </row>
    <row r="14" ht="52" customHeight="1">
      <c r="A14" s="35" t="n">
        <v>2</v>
      </c>
      <c r="B14" s="36" t="inlineStr">
        <is>
          <t>Sum Insured Band Distribution for the reinsurance submission</t>
        </is>
      </c>
      <c r="C14" s="38" t="inlineStr">
        <is>
          <t>A band distribution: sum insured grouped in bands of PKR 10 million, showing policy count, total sum insured and total premium per band, with the band structure changeable in seconds.</t>
        </is>
      </c>
      <c r="D14" s="37" t="inlineStr">
        <is>
          <t>Head of Reinsurance</t>
        </is>
      </c>
      <c r="E14" s="31" t="n"/>
    </row>
    <row r="15" ht="52" customHeight="1">
      <c r="A15" s="35" t="n">
        <v>3</v>
      </c>
      <c r="B15" s="36" t="inlineStr">
        <is>
          <t>Regional grouping without a region column</t>
        </is>
      </c>
      <c r="C15" s="38" t="inlineStr">
        <is>
          <t>A pivot with those three branches manually grouped into a renamed 'South Region' line, alongside the remaining branches, with premium and claims.</t>
        </is>
      </c>
      <c r="D15" s="37" t="inlineStr">
        <is>
          <t>Regional Head — South</t>
        </is>
      </c>
      <c r="E15" s="31" t="n"/>
    </row>
    <row r="16" ht="52" customHeight="1">
      <c r="A16" s="35" t="n">
        <v>4</v>
      </c>
      <c r="B16" s="36" t="inlineStr">
        <is>
          <t>Weekly bucketing for the claims surge review</t>
        </is>
      </c>
      <c r="C16" s="38" t="inlineStr">
        <is>
          <t>A seven-day bucketed report starting 1 January 2024 showing claims count and value per bucket, with the three heaviest buckets identified.</t>
        </is>
      </c>
      <c r="D16" s="37" t="inlineStr">
        <is>
          <t>Head of Claims Operations</t>
        </is>
      </c>
      <c r="E16" s="31" t="n"/>
    </row>
    <row r="17" ht="65" customHeight="1">
      <c r="A17" s="35" t="n">
        <v>5</v>
      </c>
      <c r="B17" s="36" t="inlineStr">
        <is>
          <t>Defect note — why grouping failed on the branch file</t>
        </is>
      </c>
      <c r="C17" s="38" t="inlineStr">
        <is>
          <t>A defect note stating the one condition that makes date grouping fail, how to identify the offending rows in the source, and the correct fix. Also state how to report on a July-start financial year, which grouping cannot do.</t>
        </is>
      </c>
      <c r="D17" s="37" t="inlineStr">
        <is>
          <t>Head of MIS</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70.xml><?xml version="1.0" encoding="utf-8"?>
<worksheet xmlns="http://schemas.openxmlformats.org/spreadsheetml/2006/main">
  <sheetPr>
    <tabColor rgb="001F3864"/>
    <outlinePr summaryBelow="1" summaryRight="1"/>
    <pageSetUpPr/>
  </sheetPr>
  <dimension ref="A1:M127"/>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20" customWidth="1" min="3" max="3"/>
    <col width="11" customWidth="1" min="4" max="4"/>
    <col width="17" customWidth="1" min="5" max="5"/>
    <col width="16" customWidth="1" min="6" max="6"/>
    <col width="20" customWidth="1" min="7" max="7"/>
    <col width="13" customWidth="1" min="8" max="8"/>
    <col width="19" customWidth="1" min="9" max="9"/>
    <col width="20" customWidth="1" min="10" max="10"/>
    <col width="19" customWidth="1" min="11" max="11"/>
    <col width="13" customWidth="1" min="12" max="12"/>
    <col width="14" customWidth="1" min="13" max="13"/>
  </cols>
  <sheetData>
    <row r="1" ht="26" customHeight="1">
      <c r="A1" s="1" t="inlineStr">
        <is>
          <t>Dataset 3.3  —  Show Values As (% of Grand Total, % of Parent, Running Total, Difference From)</t>
        </is>
      </c>
    </row>
    <row r="2" ht="16" customHeight="1">
      <c r="A2" s="2" t="inlineStr">
        <is>
          <t>Session 3: Advanced Pivot Tables, Power Query &amp; What-If Analysis | Part A: Advanced Pivot Tables   |   Adamjee Assurance Company Limited (Pakistan) — training data, figures in PKR</t>
        </is>
      </c>
    </row>
    <row r="4">
      <c r="A4" s="9" t="inlineStr">
        <is>
          <t>Table A — Policy transaction register 2024 (120 rows — the pivot source)</t>
        </is>
      </c>
    </row>
    <row r="5" ht="30" customHeight="1">
      <c r="A5" s="10" t="inlineStr">
        <is>
          <t>Policy No</t>
        </is>
      </c>
      <c r="B5" s="10" t="inlineStr">
        <is>
          <t>Booking Date</t>
        </is>
      </c>
      <c r="C5" s="10" t="inlineStr">
        <is>
          <t>Branch</t>
        </is>
      </c>
      <c r="D5" s="10" t="inlineStr">
        <is>
          <t>Region</t>
        </is>
      </c>
      <c r="E5" s="10" t="inlineStr">
        <is>
          <t>Product</t>
        </is>
      </c>
      <c r="F5" s="10" t="inlineStr">
        <is>
          <t>Channel</t>
        </is>
      </c>
      <c r="G5" s="10" t="inlineStr">
        <is>
          <t>Agent Name</t>
        </is>
      </c>
      <c r="H5" s="10" t="inlineStr">
        <is>
          <t>Client Type</t>
        </is>
      </c>
      <c r="I5" s="10" t="inlineStr">
        <is>
          <t>Sum Insured (PKR)</t>
        </is>
      </c>
      <c r="J5" s="10" t="inlineStr">
        <is>
          <t>Gross Premium (PKR)</t>
        </is>
      </c>
      <c r="K5" s="10" t="inlineStr">
        <is>
          <t>Claims Paid (PKR)</t>
        </is>
      </c>
      <c r="L5" s="10" t="inlineStr">
        <is>
          <t>Policy Count</t>
        </is>
      </c>
      <c r="M5" s="10" t="inlineStr">
        <is>
          <t>Policy Status</t>
        </is>
      </c>
    </row>
    <row r="6">
      <c r="A6" s="7" t="inlineStr">
        <is>
          <t>ADM-MTR-KHI-2024-2001</t>
        </is>
      </c>
      <c r="B6" s="40" t="n">
        <v>45292</v>
      </c>
      <c r="C6" s="7" t="inlineStr">
        <is>
          <t>Karachi Main</t>
        </is>
      </c>
      <c r="D6" s="7" t="inlineStr">
        <is>
          <t>South</t>
        </is>
      </c>
      <c r="E6" s="7" t="inlineStr">
        <is>
          <t>Motor</t>
        </is>
      </c>
      <c r="F6" s="7" t="inlineStr">
        <is>
          <t>Direct</t>
        </is>
      </c>
      <c r="G6" s="7" t="inlineStr">
        <is>
          <t>Tariq Jameel</t>
        </is>
      </c>
      <c r="H6" s="7" t="inlineStr">
        <is>
          <t>Individual</t>
        </is>
      </c>
      <c r="I6" s="11" t="n">
        <v>3400000</v>
      </c>
      <c r="J6" s="11" t="n">
        <v>33200</v>
      </c>
      <c r="K6" s="11" t="n">
        <v>52907</v>
      </c>
      <c r="L6" s="11" t="n">
        <v>1</v>
      </c>
      <c r="M6" s="7" t="inlineStr">
        <is>
          <t>Active</t>
        </is>
      </c>
    </row>
    <row r="7">
      <c r="A7" s="15" t="inlineStr">
        <is>
          <t>ADM-HLT-LHR-2024-2002</t>
        </is>
      </c>
      <c r="B7" s="41" t="n">
        <v>45330</v>
      </c>
      <c r="C7" s="15" t="inlineStr">
        <is>
          <t>Lahore Gulberg</t>
        </is>
      </c>
      <c r="D7" s="15" t="inlineStr">
        <is>
          <t>Central</t>
        </is>
      </c>
      <c r="E7" s="15" t="inlineStr">
        <is>
          <t>Health</t>
        </is>
      </c>
      <c r="F7" s="15" t="inlineStr">
        <is>
          <t>Agency</t>
        </is>
      </c>
      <c r="G7" s="15" t="inlineStr">
        <is>
          <t>Nadia Hassan</t>
        </is>
      </c>
      <c r="H7" s="15" t="inlineStr">
        <is>
          <t>Corporate</t>
        </is>
      </c>
      <c r="I7" s="14" t="n">
        <v>1200000</v>
      </c>
      <c r="J7" s="14" t="n">
        <v>15300</v>
      </c>
      <c r="K7" s="14" t="n">
        <v>3207</v>
      </c>
      <c r="L7" s="14" t="n">
        <v>1</v>
      </c>
      <c r="M7" s="15" t="inlineStr">
        <is>
          <t>Active</t>
        </is>
      </c>
    </row>
    <row r="8">
      <c r="A8" s="7" t="inlineStr">
        <is>
          <t>ADM-MSC-ISB-2024-2003</t>
        </is>
      </c>
      <c r="B8" s="40" t="n">
        <v>45366</v>
      </c>
      <c r="C8" s="7" t="inlineStr">
        <is>
          <t>Islamabad Blue Area</t>
        </is>
      </c>
      <c r="D8" s="7" t="inlineStr">
        <is>
          <t>North</t>
        </is>
      </c>
      <c r="E8" s="7" t="inlineStr">
        <is>
          <t>Miscellaneous</t>
        </is>
      </c>
      <c r="F8" s="7" t="inlineStr">
        <is>
          <t>Bancassurance</t>
        </is>
      </c>
      <c r="G8" s="7" t="inlineStr">
        <is>
          <t>Salman Shah</t>
        </is>
      </c>
      <c r="H8" s="7" t="inlineStr">
        <is>
          <t>Corporate</t>
        </is>
      </c>
      <c r="I8" s="11" t="n">
        <v>11500000</v>
      </c>
      <c r="J8" s="11" t="n">
        <v>206100</v>
      </c>
      <c r="K8" s="11" t="n">
        <v>260673</v>
      </c>
      <c r="L8" s="11" t="n">
        <v>1</v>
      </c>
      <c r="M8" s="7" t="inlineStr">
        <is>
          <t>Renewed</t>
        </is>
      </c>
    </row>
    <row r="9">
      <c r="A9" s="15" t="inlineStr">
        <is>
          <t>ADM-MAR-FSD-2024-2004</t>
        </is>
      </c>
      <c r="B9" s="41" t="n">
        <v>45404</v>
      </c>
      <c r="C9" s="15" t="inlineStr">
        <is>
          <t>Faisalabad</t>
        </is>
      </c>
      <c r="D9" s="15" t="inlineStr">
        <is>
          <t>Central</t>
        </is>
      </c>
      <c r="E9" s="15" t="inlineStr">
        <is>
          <t>Marine Cargo</t>
        </is>
      </c>
      <c r="F9" s="15" t="inlineStr">
        <is>
          <t>Corporate</t>
        </is>
      </c>
      <c r="G9" s="15" t="inlineStr">
        <is>
          <t>Komal Bashir</t>
        </is>
      </c>
      <c r="H9" s="15" t="inlineStr">
        <is>
          <t>Individual</t>
        </is>
      </c>
      <c r="I9" s="14" t="n">
        <v>47000000</v>
      </c>
      <c r="J9" s="14" t="n">
        <v>1335500</v>
      </c>
      <c r="K9" s="14" t="n">
        <v>125902</v>
      </c>
      <c r="L9" s="14" t="n">
        <v>1</v>
      </c>
      <c r="M9" s="15" t="inlineStr">
        <is>
          <t>Lapsed</t>
        </is>
      </c>
    </row>
    <row r="10">
      <c r="A10" s="7" t="inlineStr">
        <is>
          <t>ADM-ENG-MUL-2024-2005</t>
        </is>
      </c>
      <c r="B10" s="40" t="n">
        <v>45413</v>
      </c>
      <c r="C10" s="7" t="inlineStr">
        <is>
          <t>Multan</t>
        </is>
      </c>
      <c r="D10" s="7" t="inlineStr">
        <is>
          <t>Central</t>
        </is>
      </c>
      <c r="E10" s="7" t="inlineStr">
        <is>
          <t>Engineering</t>
        </is>
      </c>
      <c r="F10" s="7" t="inlineStr">
        <is>
          <t>Direct</t>
        </is>
      </c>
      <c r="G10" s="7" t="inlineStr">
        <is>
          <t>Waqar Younis Khan</t>
        </is>
      </c>
      <c r="H10" s="7" t="inlineStr">
        <is>
          <t>Corporate</t>
        </is>
      </c>
      <c r="I10" s="11" t="n">
        <v>1200000</v>
      </c>
      <c r="J10" s="11" t="n">
        <v>14500</v>
      </c>
      <c r="K10" s="11" t="n">
        <v>20595</v>
      </c>
      <c r="L10" s="11" t="n">
        <v>1</v>
      </c>
      <c r="M10" s="7" t="inlineStr">
        <is>
          <t>Cancelled</t>
        </is>
      </c>
    </row>
    <row r="11">
      <c r="A11" s="15" t="inlineStr">
        <is>
          <t>ADM-FIR-PEW-2024-2006</t>
        </is>
      </c>
      <c r="B11" s="41" t="n">
        <v>45451</v>
      </c>
      <c r="C11" s="15" t="inlineStr">
        <is>
          <t>Peshawar</t>
        </is>
      </c>
      <c r="D11" s="15" t="inlineStr">
        <is>
          <t>North</t>
        </is>
      </c>
      <c r="E11" s="15" t="inlineStr">
        <is>
          <t>Fire &amp; Property</t>
        </is>
      </c>
      <c r="F11" s="15" t="inlineStr">
        <is>
          <t>Agency</t>
        </is>
      </c>
      <c r="G11" s="15" t="inlineStr">
        <is>
          <t>Amna Zubair</t>
        </is>
      </c>
      <c r="H11" s="15" t="inlineStr">
        <is>
          <t>Corporate</t>
        </is>
      </c>
      <c r="I11" s="14" t="n">
        <v>72000000</v>
      </c>
      <c r="J11" s="14" t="n">
        <v>1519000</v>
      </c>
      <c r="K11" s="14" t="n">
        <v>2506397</v>
      </c>
      <c r="L11" s="14" t="n">
        <v>1</v>
      </c>
      <c r="M11" s="15" t="inlineStr">
        <is>
          <t>Active</t>
        </is>
      </c>
    </row>
    <row r="12">
      <c r="A12" s="7" t="inlineStr">
        <is>
          <t>ADM-TRV-QTA-2024-2007</t>
        </is>
      </c>
      <c r="B12" s="40" t="n">
        <v>45488</v>
      </c>
      <c r="C12" s="7" t="inlineStr">
        <is>
          <t>Quetta</t>
        </is>
      </c>
      <c r="D12" s="7" t="inlineStr">
        <is>
          <t>South</t>
        </is>
      </c>
      <c r="E12" s="7" t="inlineStr">
        <is>
          <t>Travel</t>
        </is>
      </c>
      <c r="F12" s="7" t="inlineStr">
        <is>
          <t>Bancassurance</t>
        </is>
      </c>
      <c r="G12" s="7" t="inlineStr">
        <is>
          <t>Rizwan Ali Soomro</t>
        </is>
      </c>
      <c r="H12" s="7" t="inlineStr">
        <is>
          <t>Individual</t>
        </is>
      </c>
      <c r="I12" s="11" t="n">
        <v>1200000</v>
      </c>
      <c r="J12" s="11" t="n">
        <v>23900</v>
      </c>
      <c r="K12" s="11" t="n">
        <v>3819</v>
      </c>
      <c r="L12" s="11" t="n">
        <v>1</v>
      </c>
      <c r="M12" s="7" t="inlineStr">
        <is>
          <t>Active</t>
        </is>
      </c>
    </row>
    <row r="13">
      <c r="A13" s="15" t="inlineStr">
        <is>
          <t>ADM-MTR-HYD-2024-2008</t>
        </is>
      </c>
      <c r="B13" s="41" t="n">
        <v>45526</v>
      </c>
      <c r="C13" s="15" t="inlineStr">
        <is>
          <t>Hyderabad</t>
        </is>
      </c>
      <c r="D13" s="15" t="inlineStr">
        <is>
          <t>South</t>
        </is>
      </c>
      <c r="E13" s="15" t="inlineStr">
        <is>
          <t>Motor</t>
        </is>
      </c>
      <c r="F13" s="15" t="inlineStr">
        <is>
          <t>Corporate</t>
        </is>
      </c>
      <c r="G13" s="15" t="inlineStr">
        <is>
          <t>Farhan Dar</t>
        </is>
      </c>
      <c r="H13" s="15" t="inlineStr">
        <is>
          <t>Corporate</t>
        </is>
      </c>
      <c r="I13" s="14" t="n">
        <v>11500000</v>
      </c>
      <c r="J13" s="14" t="n">
        <v>204900</v>
      </c>
      <c r="K13" s="14" t="n">
        <v>293808</v>
      </c>
      <c r="L13" s="14" t="n">
        <v>1</v>
      </c>
      <c r="M13" s="15" t="inlineStr">
        <is>
          <t>Renewed</t>
        </is>
      </c>
    </row>
    <row r="14">
      <c r="A14" s="7" t="inlineStr">
        <is>
          <t>ADM-HLT-SKT-2024-2009</t>
        </is>
      </c>
      <c r="B14" s="40" t="n">
        <v>45536</v>
      </c>
      <c r="C14" s="7" t="inlineStr">
        <is>
          <t>Sialkot</t>
        </is>
      </c>
      <c r="D14" s="7" t="inlineStr">
        <is>
          <t>Central</t>
        </is>
      </c>
      <c r="E14" s="7" t="inlineStr">
        <is>
          <t>Health</t>
        </is>
      </c>
      <c r="F14" s="7" t="inlineStr">
        <is>
          <t>Direct</t>
        </is>
      </c>
      <c r="G14" s="7" t="inlineStr">
        <is>
          <t>Sobia Naz</t>
        </is>
      </c>
      <c r="H14" s="7" t="inlineStr">
        <is>
          <t>Corporate</t>
        </is>
      </c>
      <c r="I14" s="11" t="n">
        <v>6800000</v>
      </c>
      <c r="J14" s="11" t="n">
        <v>145900</v>
      </c>
      <c r="K14" s="11" t="n">
        <v>101845</v>
      </c>
      <c r="L14" s="11" t="n">
        <v>1</v>
      </c>
      <c r="M14" s="7" t="inlineStr">
        <is>
          <t>Lapsed</t>
        </is>
      </c>
    </row>
    <row r="15">
      <c r="A15" s="15" t="inlineStr">
        <is>
          <t>ADM-MSC-RWP-2024-2010</t>
        </is>
      </c>
      <c r="B15" s="41" t="n">
        <v>45573</v>
      </c>
      <c r="C15" s="15" t="inlineStr">
        <is>
          <t>Rawalpindi</t>
        </is>
      </c>
      <c r="D15" s="15" t="inlineStr">
        <is>
          <t>North</t>
        </is>
      </c>
      <c r="E15" s="15" t="inlineStr">
        <is>
          <t>Miscellaneous</t>
        </is>
      </c>
      <c r="F15" s="15" t="inlineStr">
        <is>
          <t>Agency</t>
        </is>
      </c>
      <c r="G15" s="15" t="inlineStr">
        <is>
          <t>Junaid Akram</t>
        </is>
      </c>
      <c r="H15" s="15" t="inlineStr">
        <is>
          <t>Individual</t>
        </is>
      </c>
      <c r="I15" s="14" t="n">
        <v>1200000</v>
      </c>
      <c r="J15" s="14" t="n">
        <v>20000</v>
      </c>
      <c r="K15" s="14" t="n">
        <v>15603</v>
      </c>
      <c r="L15" s="14" t="n">
        <v>1</v>
      </c>
      <c r="M15" s="15" t="inlineStr">
        <is>
          <t>Cancelled</t>
        </is>
      </c>
    </row>
    <row r="16">
      <c r="A16" s="7" t="inlineStr">
        <is>
          <t>ADM-MAR-KHI-2024-2011</t>
        </is>
      </c>
      <c r="B16" s="40" t="n">
        <v>45611</v>
      </c>
      <c r="C16" s="7" t="inlineStr">
        <is>
          <t>Karachi Main</t>
        </is>
      </c>
      <c r="D16" s="7" t="inlineStr">
        <is>
          <t>South</t>
        </is>
      </c>
      <c r="E16" s="7" t="inlineStr">
        <is>
          <t>Marine Cargo</t>
        </is>
      </c>
      <c r="F16" s="7" t="inlineStr">
        <is>
          <t>Bancassurance</t>
        </is>
      </c>
      <c r="G16" s="7" t="inlineStr">
        <is>
          <t>Hamid Raza</t>
        </is>
      </c>
      <c r="H16" s="7" t="inlineStr">
        <is>
          <t>Corporate</t>
        </is>
      </c>
      <c r="I16" s="11" t="n">
        <v>47000000</v>
      </c>
      <c r="J16" s="11" t="n">
        <v>716000</v>
      </c>
      <c r="K16" s="11" t="n">
        <v>109689</v>
      </c>
      <c r="L16" s="11" t="n">
        <v>1</v>
      </c>
      <c r="M16" s="7" t="inlineStr">
        <is>
          <t>Active</t>
        </is>
      </c>
    </row>
    <row r="17">
      <c r="A17" s="15" t="inlineStr">
        <is>
          <t>ADM-ENG-LHR-2024-2012</t>
        </is>
      </c>
      <c r="B17" s="41" t="n">
        <v>45648</v>
      </c>
      <c r="C17" s="15" t="inlineStr">
        <is>
          <t>Lahore Gulberg</t>
        </is>
      </c>
      <c r="D17" s="15" t="inlineStr">
        <is>
          <t>Central</t>
        </is>
      </c>
      <c r="E17" s="15" t="inlineStr">
        <is>
          <t>Engineering</t>
        </is>
      </c>
      <c r="F17" s="15" t="inlineStr">
        <is>
          <t>Corporate</t>
        </is>
      </c>
      <c r="G17" s="15" t="inlineStr">
        <is>
          <t>Nimra Saleem</t>
        </is>
      </c>
      <c r="H17" s="15" t="inlineStr">
        <is>
          <t>Corporate</t>
        </is>
      </c>
      <c r="I17" s="14" t="n">
        <v>28000000</v>
      </c>
      <c r="J17" s="14" t="n">
        <v>722600</v>
      </c>
      <c r="K17" s="14" t="n">
        <v>919063</v>
      </c>
      <c r="L17" s="14" t="n">
        <v>1</v>
      </c>
      <c r="M17" s="15" t="inlineStr">
        <is>
          <t>Active</t>
        </is>
      </c>
    </row>
    <row r="18">
      <c r="A18" s="7" t="inlineStr">
        <is>
          <t>ADM-FIR-ISB-2024-2013</t>
        </is>
      </c>
      <c r="B18" s="40" t="n">
        <v>45292</v>
      </c>
      <c r="C18" s="7" t="inlineStr">
        <is>
          <t>Islamabad Blue Area</t>
        </is>
      </c>
      <c r="D18" s="7" t="inlineStr">
        <is>
          <t>North</t>
        </is>
      </c>
      <c r="E18" s="7" t="inlineStr">
        <is>
          <t>Fire &amp; Property</t>
        </is>
      </c>
      <c r="F18" s="7" t="inlineStr">
        <is>
          <t>Direct</t>
        </is>
      </c>
      <c r="G18" s="7" t="inlineStr">
        <is>
          <t>Tariq Jameel</t>
        </is>
      </c>
      <c r="H18" s="7" t="inlineStr">
        <is>
          <t>Individual</t>
        </is>
      </c>
      <c r="I18" s="11" t="n">
        <v>19000000</v>
      </c>
      <c r="J18" s="11" t="n">
        <v>472900</v>
      </c>
      <c r="K18" s="11" t="n">
        <v>891308</v>
      </c>
      <c r="L18" s="11" t="n">
        <v>1</v>
      </c>
      <c r="M18" s="7" t="inlineStr">
        <is>
          <t>Renewed</t>
        </is>
      </c>
    </row>
    <row r="19">
      <c r="A19" s="15" t="inlineStr">
        <is>
          <t>ADM-TRV-FSD-2024-2014</t>
        </is>
      </c>
      <c r="B19" s="41" t="n">
        <v>45330</v>
      </c>
      <c r="C19" s="15" t="inlineStr">
        <is>
          <t>Faisalabad</t>
        </is>
      </c>
      <c r="D19" s="15" t="inlineStr">
        <is>
          <t>Central</t>
        </is>
      </c>
      <c r="E19" s="15" t="inlineStr">
        <is>
          <t>Travel</t>
        </is>
      </c>
      <c r="F19" s="15" t="inlineStr">
        <is>
          <t>Agency</t>
        </is>
      </c>
      <c r="G19" s="15" t="inlineStr">
        <is>
          <t>Nadia Hassan</t>
        </is>
      </c>
      <c r="H19" s="15" t="inlineStr">
        <is>
          <t>Corporate</t>
        </is>
      </c>
      <c r="I19" s="14" t="n">
        <v>3400000</v>
      </c>
      <c r="J19" s="14" t="n">
        <v>66300</v>
      </c>
      <c r="K19" s="14" t="n">
        <v>114579</v>
      </c>
      <c r="L19" s="14" t="n">
        <v>1</v>
      </c>
      <c r="M19" s="15" t="inlineStr">
        <is>
          <t>Lapsed</t>
        </is>
      </c>
    </row>
    <row r="20">
      <c r="A20" s="7" t="inlineStr">
        <is>
          <t>ADM-MTR-MUL-2024-2015</t>
        </is>
      </c>
      <c r="B20" s="40" t="n">
        <v>45366</v>
      </c>
      <c r="C20" s="7" t="inlineStr">
        <is>
          <t>Multan</t>
        </is>
      </c>
      <c r="D20" s="7" t="inlineStr">
        <is>
          <t>Central</t>
        </is>
      </c>
      <c r="E20" s="7" t="inlineStr">
        <is>
          <t>Motor</t>
        </is>
      </c>
      <c r="F20" s="7" t="inlineStr">
        <is>
          <t>Bancassurance</t>
        </is>
      </c>
      <c r="G20" s="7" t="inlineStr">
        <is>
          <t>Salman Shah</t>
        </is>
      </c>
      <c r="H20" s="7" t="inlineStr">
        <is>
          <t>Corporate</t>
        </is>
      </c>
      <c r="I20" s="11" t="n">
        <v>28000000</v>
      </c>
      <c r="J20" s="11" t="n">
        <v>502000</v>
      </c>
      <c r="K20" s="11" t="n">
        <v>218330</v>
      </c>
      <c r="L20" s="11" t="n">
        <v>1</v>
      </c>
      <c r="M20" s="7" t="inlineStr">
        <is>
          <t>Cancelled</t>
        </is>
      </c>
    </row>
    <row r="21">
      <c r="A21" s="15" t="inlineStr">
        <is>
          <t>ADM-HLT-PEW-2024-2016</t>
        </is>
      </c>
      <c r="B21" s="41" t="n">
        <v>45404</v>
      </c>
      <c r="C21" s="15" t="inlineStr">
        <is>
          <t>Peshawar</t>
        </is>
      </c>
      <c r="D21" s="15" t="inlineStr">
        <is>
          <t>North</t>
        </is>
      </c>
      <c r="E21" s="15" t="inlineStr">
        <is>
          <t>Health</t>
        </is>
      </c>
      <c r="F21" s="15" t="inlineStr">
        <is>
          <t>Corporate</t>
        </is>
      </c>
      <c r="G21" s="15" t="inlineStr">
        <is>
          <t>Komal Bashir</t>
        </is>
      </c>
      <c r="H21" s="15" t="inlineStr">
        <is>
          <t>Individual</t>
        </is>
      </c>
      <c r="I21" s="14" t="n">
        <v>47000000</v>
      </c>
      <c r="J21" s="14" t="n">
        <v>1011100</v>
      </c>
      <c r="K21" s="14" t="n">
        <v>1308447</v>
      </c>
      <c r="L21" s="14" t="n">
        <v>1</v>
      </c>
      <c r="M21" s="15" t="inlineStr">
        <is>
          <t>Active</t>
        </is>
      </c>
    </row>
    <row r="22">
      <c r="A22" s="7" t="inlineStr">
        <is>
          <t>ADM-MSC-QTA-2024-2017</t>
        </is>
      </c>
      <c r="B22" s="40" t="n">
        <v>45413</v>
      </c>
      <c r="C22" s="7" t="inlineStr">
        <is>
          <t>Quetta</t>
        </is>
      </c>
      <c r="D22" s="7" t="inlineStr">
        <is>
          <t>South</t>
        </is>
      </c>
      <c r="E22" s="7" t="inlineStr">
        <is>
          <t>Miscellaneous</t>
        </is>
      </c>
      <c r="F22" s="7" t="inlineStr">
        <is>
          <t>Direct</t>
        </is>
      </c>
      <c r="G22" s="7" t="inlineStr">
        <is>
          <t>Waqar Younis Khan</t>
        </is>
      </c>
      <c r="H22" s="7" t="inlineStr">
        <is>
          <t>Corporate</t>
        </is>
      </c>
      <c r="I22" s="11" t="n">
        <v>28000000</v>
      </c>
      <c r="J22" s="11" t="n">
        <v>240800</v>
      </c>
      <c r="K22" s="11" t="n">
        <v>175880</v>
      </c>
      <c r="L22" s="11" t="n">
        <v>1</v>
      </c>
      <c r="M22" s="7" t="inlineStr">
        <is>
          <t>Active</t>
        </is>
      </c>
    </row>
    <row r="23">
      <c r="A23" s="15" t="inlineStr">
        <is>
          <t>ADM-MAR-HYD-2024-2018</t>
        </is>
      </c>
      <c r="B23" s="41" t="n">
        <v>45451</v>
      </c>
      <c r="C23" s="15" t="inlineStr">
        <is>
          <t>Hyderabad</t>
        </is>
      </c>
      <c r="D23" s="15" t="inlineStr">
        <is>
          <t>South</t>
        </is>
      </c>
      <c r="E23" s="15" t="inlineStr">
        <is>
          <t>Marine Cargo</t>
        </is>
      </c>
      <c r="F23" s="15" t="inlineStr">
        <is>
          <t>Agency</t>
        </is>
      </c>
      <c r="G23" s="15" t="inlineStr">
        <is>
          <t>Amna Zubair</t>
        </is>
      </c>
      <c r="H23" s="15" t="inlineStr">
        <is>
          <t>Corporate</t>
        </is>
      </c>
      <c r="I23" s="14" t="n">
        <v>6800000</v>
      </c>
      <c r="J23" s="14" t="n">
        <v>191900</v>
      </c>
      <c r="K23" s="14" t="n">
        <v>307821</v>
      </c>
      <c r="L23" s="14" t="n">
        <v>1</v>
      </c>
      <c r="M23" s="15" t="inlineStr">
        <is>
          <t>Renewed</t>
        </is>
      </c>
    </row>
    <row r="24">
      <c r="A24" s="7" t="inlineStr">
        <is>
          <t>ADM-ENG-SKT-2024-2019</t>
        </is>
      </c>
      <c r="B24" s="40" t="n">
        <v>45488</v>
      </c>
      <c r="C24" s="7" t="inlineStr">
        <is>
          <t>Sialkot</t>
        </is>
      </c>
      <c r="D24" s="7" t="inlineStr">
        <is>
          <t>Central</t>
        </is>
      </c>
      <c r="E24" s="7" t="inlineStr">
        <is>
          <t>Engineering</t>
        </is>
      </c>
      <c r="F24" s="7" t="inlineStr">
        <is>
          <t>Bancassurance</t>
        </is>
      </c>
      <c r="G24" s="7" t="inlineStr">
        <is>
          <t>Rizwan Ali Soomro</t>
        </is>
      </c>
      <c r="H24" s="7" t="inlineStr">
        <is>
          <t>Individual</t>
        </is>
      </c>
      <c r="I24" s="11" t="n">
        <v>28000000</v>
      </c>
      <c r="J24" s="11" t="n">
        <v>576800</v>
      </c>
      <c r="K24" s="11" t="n">
        <v>942646</v>
      </c>
      <c r="L24" s="11" t="n">
        <v>1</v>
      </c>
      <c r="M24" s="7" t="inlineStr">
        <is>
          <t>Lapsed</t>
        </is>
      </c>
    </row>
    <row r="25">
      <c r="A25" s="15" t="inlineStr">
        <is>
          <t>ADM-FIR-RWP-2024-2020</t>
        </is>
      </c>
      <c r="B25" s="41" t="n">
        <v>45526</v>
      </c>
      <c r="C25" s="15" t="inlineStr">
        <is>
          <t>Rawalpindi</t>
        </is>
      </c>
      <c r="D25" s="15" t="inlineStr">
        <is>
          <t>North</t>
        </is>
      </c>
      <c r="E25" s="15" t="inlineStr">
        <is>
          <t>Fire &amp; Property</t>
        </is>
      </c>
      <c r="F25" s="15" t="inlineStr">
        <is>
          <t>Corporate</t>
        </is>
      </c>
      <c r="G25" s="15" t="inlineStr">
        <is>
          <t>Farhan Dar</t>
        </is>
      </c>
      <c r="H25" s="15" t="inlineStr">
        <is>
          <t>Corporate</t>
        </is>
      </c>
      <c r="I25" s="14" t="n">
        <v>3400000</v>
      </c>
      <c r="J25" s="14" t="n">
        <v>36800</v>
      </c>
      <c r="K25" s="14" t="n">
        <v>46076</v>
      </c>
      <c r="L25" s="14" t="n">
        <v>1</v>
      </c>
      <c r="M25" s="15" t="inlineStr">
        <is>
          <t>Cancelled</t>
        </is>
      </c>
    </row>
    <row r="26">
      <c r="A26" s="7" t="inlineStr">
        <is>
          <t>ADM-TRV-KHI-2024-2021</t>
        </is>
      </c>
      <c r="B26" s="40" t="n">
        <v>45536</v>
      </c>
      <c r="C26" s="7" t="inlineStr">
        <is>
          <t>Karachi Main</t>
        </is>
      </c>
      <c r="D26" s="7" t="inlineStr">
        <is>
          <t>South</t>
        </is>
      </c>
      <c r="E26" s="7" t="inlineStr">
        <is>
          <t>Travel</t>
        </is>
      </c>
      <c r="F26" s="7" t="inlineStr">
        <is>
          <t>Direct</t>
        </is>
      </c>
      <c r="G26" s="7" t="inlineStr">
        <is>
          <t>Sobia Naz</t>
        </is>
      </c>
      <c r="H26" s="7" t="inlineStr">
        <is>
          <t>Corporate</t>
        </is>
      </c>
      <c r="I26" s="11" t="n">
        <v>19000000</v>
      </c>
      <c r="J26" s="11" t="n">
        <v>161800</v>
      </c>
      <c r="K26" s="11" t="n">
        <v>221138</v>
      </c>
      <c r="L26" s="11" t="n">
        <v>1</v>
      </c>
      <c r="M26" s="7" t="inlineStr">
        <is>
          <t>Active</t>
        </is>
      </c>
    </row>
    <row r="27">
      <c r="A27" s="15" t="inlineStr">
        <is>
          <t>ADM-MTR-LHR-2024-2022</t>
        </is>
      </c>
      <c r="B27" s="41" t="n">
        <v>45573</v>
      </c>
      <c r="C27" s="15" t="inlineStr">
        <is>
          <t>Lahore Gulberg</t>
        </is>
      </c>
      <c r="D27" s="15" t="inlineStr">
        <is>
          <t>Central</t>
        </is>
      </c>
      <c r="E27" s="15" t="inlineStr">
        <is>
          <t>Motor</t>
        </is>
      </c>
      <c r="F27" s="15" t="inlineStr">
        <is>
          <t>Agency</t>
        </is>
      </c>
      <c r="G27" s="15" t="inlineStr">
        <is>
          <t>Junaid Akram</t>
        </is>
      </c>
      <c r="H27" s="15" t="inlineStr">
        <is>
          <t>Individual</t>
        </is>
      </c>
      <c r="I27" s="14" t="n">
        <v>72000000</v>
      </c>
      <c r="J27" s="14" t="n">
        <v>1055500</v>
      </c>
      <c r="K27" s="14" t="n">
        <v>844771</v>
      </c>
      <c r="L27" s="14" t="n">
        <v>1</v>
      </c>
      <c r="M27" s="15" t="inlineStr">
        <is>
          <t>Active</t>
        </is>
      </c>
    </row>
    <row r="28">
      <c r="A28" s="7" t="inlineStr">
        <is>
          <t>ADM-HLT-ISB-2024-2023</t>
        </is>
      </c>
      <c r="B28" s="40" t="n">
        <v>45611</v>
      </c>
      <c r="C28" s="7" t="inlineStr">
        <is>
          <t>Islamabad Blue Area</t>
        </is>
      </c>
      <c r="D28" s="7" t="inlineStr">
        <is>
          <t>North</t>
        </is>
      </c>
      <c r="E28" s="7" t="inlineStr">
        <is>
          <t>Health</t>
        </is>
      </c>
      <c r="F28" s="7" t="inlineStr">
        <is>
          <t>Bancassurance</t>
        </is>
      </c>
      <c r="G28" s="7" t="inlineStr">
        <is>
          <t>Hamid Raza</t>
        </is>
      </c>
      <c r="H28" s="7" t="inlineStr">
        <is>
          <t>Corporate</t>
        </is>
      </c>
      <c r="I28" s="11" t="n">
        <v>1200000</v>
      </c>
      <c r="J28" s="11" t="n">
        <v>6400</v>
      </c>
      <c r="K28" s="11" t="n">
        <v>498</v>
      </c>
      <c r="L28" s="11" t="n">
        <v>1</v>
      </c>
      <c r="M28" s="7" t="inlineStr">
        <is>
          <t>Renewed</t>
        </is>
      </c>
    </row>
    <row r="29">
      <c r="A29" s="15" t="inlineStr">
        <is>
          <t>ADM-MSC-FSD-2024-2024</t>
        </is>
      </c>
      <c r="B29" s="41" t="n">
        <v>45648</v>
      </c>
      <c r="C29" s="15" t="inlineStr">
        <is>
          <t>Faisalabad</t>
        </is>
      </c>
      <c r="D29" s="15" t="inlineStr">
        <is>
          <t>Central</t>
        </is>
      </c>
      <c r="E29" s="15" t="inlineStr">
        <is>
          <t>Miscellaneous</t>
        </is>
      </c>
      <c r="F29" s="15" t="inlineStr">
        <is>
          <t>Corporate</t>
        </is>
      </c>
      <c r="G29" s="15" t="inlineStr">
        <is>
          <t>Nimra Saleem</t>
        </is>
      </c>
      <c r="H29" s="15" t="inlineStr">
        <is>
          <t>Corporate</t>
        </is>
      </c>
      <c r="I29" s="14" t="n">
        <v>1200000</v>
      </c>
      <c r="J29" s="14" t="n">
        <v>33200</v>
      </c>
      <c r="K29" s="14" t="n">
        <v>32745</v>
      </c>
      <c r="L29" s="14" t="n">
        <v>1</v>
      </c>
      <c r="M29" s="15" t="inlineStr">
        <is>
          <t>Lapsed</t>
        </is>
      </c>
    </row>
    <row r="30">
      <c r="A30" s="7" t="inlineStr">
        <is>
          <t>ADM-MAR-MUL-2024-2025</t>
        </is>
      </c>
      <c r="B30" s="40" t="n">
        <v>45292</v>
      </c>
      <c r="C30" s="7" t="inlineStr">
        <is>
          <t>Multan</t>
        </is>
      </c>
      <c r="D30" s="7" t="inlineStr">
        <is>
          <t>Central</t>
        </is>
      </c>
      <c r="E30" s="7" t="inlineStr">
        <is>
          <t>Marine Cargo</t>
        </is>
      </c>
      <c r="F30" s="7" t="inlineStr">
        <is>
          <t>Direct</t>
        </is>
      </c>
      <c r="G30" s="7" t="inlineStr">
        <is>
          <t>Tariq Jameel</t>
        </is>
      </c>
      <c r="H30" s="7" t="inlineStr">
        <is>
          <t>Individual</t>
        </is>
      </c>
      <c r="I30" s="11" t="n">
        <v>11500000</v>
      </c>
      <c r="J30" s="11" t="n">
        <v>208500</v>
      </c>
      <c r="K30" s="11" t="n">
        <v>71918</v>
      </c>
      <c r="L30" s="11" t="n">
        <v>1</v>
      </c>
      <c r="M30" s="7" t="inlineStr">
        <is>
          <t>Cancelled</t>
        </is>
      </c>
    </row>
    <row r="31">
      <c r="A31" s="15" t="inlineStr">
        <is>
          <t>ADM-ENG-PEW-2024-2026</t>
        </is>
      </c>
      <c r="B31" s="41" t="n">
        <v>45330</v>
      </c>
      <c r="C31" s="15" t="inlineStr">
        <is>
          <t>Peshawar</t>
        </is>
      </c>
      <c r="D31" s="15" t="inlineStr">
        <is>
          <t>North</t>
        </is>
      </c>
      <c r="E31" s="15" t="inlineStr">
        <is>
          <t>Engineering</t>
        </is>
      </c>
      <c r="F31" s="15" t="inlineStr">
        <is>
          <t>Agency</t>
        </is>
      </c>
      <c r="G31" s="15" t="inlineStr">
        <is>
          <t>Nadia Hassan</t>
        </is>
      </c>
      <c r="H31" s="15" t="inlineStr">
        <is>
          <t>Corporate</t>
        </is>
      </c>
      <c r="I31" s="14" t="n">
        <v>1200000</v>
      </c>
      <c r="J31" s="14" t="n">
        <v>29100</v>
      </c>
      <c r="K31" s="14" t="n">
        <v>4151</v>
      </c>
      <c r="L31" s="14" t="n">
        <v>1</v>
      </c>
      <c r="M31" s="15" t="inlineStr">
        <is>
          <t>Active</t>
        </is>
      </c>
    </row>
    <row r="32">
      <c r="A32" s="7" t="inlineStr">
        <is>
          <t>ADM-FIR-QTA-2024-2027</t>
        </is>
      </c>
      <c r="B32" s="40" t="n">
        <v>45366</v>
      </c>
      <c r="C32" s="7" t="inlineStr">
        <is>
          <t>Quetta</t>
        </is>
      </c>
      <c r="D32" s="7" t="inlineStr">
        <is>
          <t>South</t>
        </is>
      </c>
      <c r="E32" s="7" t="inlineStr">
        <is>
          <t>Fire &amp; Property</t>
        </is>
      </c>
      <c r="F32" s="7" t="inlineStr">
        <is>
          <t>Bancassurance</t>
        </is>
      </c>
      <c r="G32" s="7" t="inlineStr">
        <is>
          <t>Salman Shah</t>
        </is>
      </c>
      <c r="H32" s="7" t="inlineStr">
        <is>
          <t>Corporate</t>
        </is>
      </c>
      <c r="I32" s="11" t="n">
        <v>1200000</v>
      </c>
      <c r="J32" s="11" t="n">
        <v>9500</v>
      </c>
      <c r="K32" s="11" t="n">
        <v>12702</v>
      </c>
      <c r="L32" s="11" t="n">
        <v>1</v>
      </c>
      <c r="M32" s="7" t="inlineStr">
        <is>
          <t>Active</t>
        </is>
      </c>
    </row>
    <row r="33">
      <c r="A33" s="15" t="inlineStr">
        <is>
          <t>ADM-TRV-HYD-2024-2028</t>
        </is>
      </c>
      <c r="B33" s="41" t="n">
        <v>45404</v>
      </c>
      <c r="C33" s="15" t="inlineStr">
        <is>
          <t>Hyderabad</t>
        </is>
      </c>
      <c r="D33" s="15" t="inlineStr">
        <is>
          <t>South</t>
        </is>
      </c>
      <c r="E33" s="15" t="inlineStr">
        <is>
          <t>Travel</t>
        </is>
      </c>
      <c r="F33" s="15" t="inlineStr">
        <is>
          <t>Corporate</t>
        </is>
      </c>
      <c r="G33" s="15" t="inlineStr">
        <is>
          <t>Komal Bashir</t>
        </is>
      </c>
      <c r="H33" s="15" t="inlineStr">
        <is>
          <t>Individual</t>
        </is>
      </c>
      <c r="I33" s="14" t="n">
        <v>19000000</v>
      </c>
      <c r="J33" s="14" t="n">
        <v>477300</v>
      </c>
      <c r="K33" s="14" t="n">
        <v>729502</v>
      </c>
      <c r="L33" s="14" t="n">
        <v>1</v>
      </c>
      <c r="M33" s="15" t="inlineStr">
        <is>
          <t>Renewed</t>
        </is>
      </c>
    </row>
    <row r="34">
      <c r="A34" s="7" t="inlineStr">
        <is>
          <t>ADM-MTR-SKT-2024-2029</t>
        </is>
      </c>
      <c r="B34" s="40" t="n">
        <v>45413</v>
      </c>
      <c r="C34" s="7" t="inlineStr">
        <is>
          <t>Sialkot</t>
        </is>
      </c>
      <c r="D34" s="7" t="inlineStr">
        <is>
          <t>Central</t>
        </is>
      </c>
      <c r="E34" s="7" t="inlineStr">
        <is>
          <t>Motor</t>
        </is>
      </c>
      <c r="F34" s="7" t="inlineStr">
        <is>
          <t>Direct</t>
        </is>
      </c>
      <c r="G34" s="7" t="inlineStr">
        <is>
          <t>Waqar Younis Khan</t>
        </is>
      </c>
      <c r="H34" s="7" t="inlineStr">
        <is>
          <t>Corporate</t>
        </is>
      </c>
      <c r="I34" s="11" t="n">
        <v>1200000</v>
      </c>
      <c r="J34" s="11" t="n">
        <v>29800</v>
      </c>
      <c r="K34" s="11" t="n">
        <v>28455</v>
      </c>
      <c r="L34" s="11" t="n">
        <v>1</v>
      </c>
      <c r="M34" s="7" t="inlineStr">
        <is>
          <t>Lapsed</t>
        </is>
      </c>
    </row>
    <row r="35">
      <c r="A35" s="15" t="inlineStr">
        <is>
          <t>ADM-HLT-RWP-2024-2030</t>
        </is>
      </c>
      <c r="B35" s="41" t="n">
        <v>45451</v>
      </c>
      <c r="C35" s="15" t="inlineStr">
        <is>
          <t>Rawalpindi</t>
        </is>
      </c>
      <c r="D35" s="15" t="inlineStr">
        <is>
          <t>North</t>
        </is>
      </c>
      <c r="E35" s="15" t="inlineStr">
        <is>
          <t>Health</t>
        </is>
      </c>
      <c r="F35" s="15" t="inlineStr">
        <is>
          <t>Agency</t>
        </is>
      </c>
      <c r="G35" s="15" t="inlineStr">
        <is>
          <t>Amna Zubair</t>
        </is>
      </c>
      <c r="H35" s="15" t="inlineStr">
        <is>
          <t>Corporate</t>
        </is>
      </c>
      <c r="I35" s="14" t="n">
        <v>1200000</v>
      </c>
      <c r="J35" s="14" t="n">
        <v>22700</v>
      </c>
      <c r="K35" s="14" t="n">
        <v>10619</v>
      </c>
      <c r="L35" s="14" t="n">
        <v>1</v>
      </c>
      <c r="M35" s="15" t="inlineStr">
        <is>
          <t>Cancelled</t>
        </is>
      </c>
    </row>
    <row r="36">
      <c r="A36" s="7" t="inlineStr">
        <is>
          <t>ADM-MSC-KHI-2024-2031</t>
        </is>
      </c>
      <c r="B36" s="40" t="n">
        <v>45488</v>
      </c>
      <c r="C36" s="7" t="inlineStr">
        <is>
          <t>Karachi Main</t>
        </is>
      </c>
      <c r="D36" s="7" t="inlineStr">
        <is>
          <t>South</t>
        </is>
      </c>
      <c r="E36" s="7" t="inlineStr">
        <is>
          <t>Miscellaneous</t>
        </is>
      </c>
      <c r="F36" s="7" t="inlineStr">
        <is>
          <t>Bancassurance</t>
        </is>
      </c>
      <c r="G36" s="7" t="inlineStr">
        <is>
          <t>Rizwan Ali Soomro</t>
        </is>
      </c>
      <c r="H36" s="7" t="inlineStr">
        <is>
          <t>Individual</t>
        </is>
      </c>
      <c r="I36" s="11" t="n">
        <v>47000000</v>
      </c>
      <c r="J36" s="11" t="n">
        <v>322500</v>
      </c>
      <c r="K36" s="11" t="n">
        <v>38715</v>
      </c>
      <c r="L36" s="11" t="n">
        <v>1</v>
      </c>
      <c r="M36" s="7" t="inlineStr">
        <is>
          <t>Active</t>
        </is>
      </c>
    </row>
    <row r="37">
      <c r="A37" s="15" t="inlineStr">
        <is>
          <t>ADM-MAR-LHR-2024-2032</t>
        </is>
      </c>
      <c r="B37" s="41" t="n">
        <v>45526</v>
      </c>
      <c r="C37" s="15" t="inlineStr">
        <is>
          <t>Lahore Gulberg</t>
        </is>
      </c>
      <c r="D37" s="15" t="inlineStr">
        <is>
          <t>Central</t>
        </is>
      </c>
      <c r="E37" s="15" t="inlineStr">
        <is>
          <t>Marine Cargo</t>
        </is>
      </c>
      <c r="F37" s="15" t="inlineStr">
        <is>
          <t>Corporate</t>
        </is>
      </c>
      <c r="G37" s="15" t="inlineStr">
        <is>
          <t>Farhan Dar</t>
        </is>
      </c>
      <c r="H37" s="15" t="inlineStr">
        <is>
          <t>Corporate</t>
        </is>
      </c>
      <c r="I37" s="14" t="n">
        <v>3400000</v>
      </c>
      <c r="J37" s="14" t="n">
        <v>25600</v>
      </c>
      <c r="K37" s="14" t="n">
        <v>20754</v>
      </c>
      <c r="L37" s="14" t="n">
        <v>1</v>
      </c>
      <c r="M37" s="15" t="inlineStr">
        <is>
          <t>Active</t>
        </is>
      </c>
    </row>
    <row r="38">
      <c r="A38" s="7" t="inlineStr">
        <is>
          <t>ADM-ENG-ISB-2024-2033</t>
        </is>
      </c>
      <c r="B38" s="40" t="n">
        <v>45536</v>
      </c>
      <c r="C38" s="7" t="inlineStr">
        <is>
          <t>Islamabad Blue Area</t>
        </is>
      </c>
      <c r="D38" s="7" t="inlineStr">
        <is>
          <t>North</t>
        </is>
      </c>
      <c r="E38" s="7" t="inlineStr">
        <is>
          <t>Engineering</t>
        </is>
      </c>
      <c r="F38" s="7" t="inlineStr">
        <is>
          <t>Direct</t>
        </is>
      </c>
      <c r="G38" s="7" t="inlineStr">
        <is>
          <t>Sobia Naz</t>
        </is>
      </c>
      <c r="H38" s="7" t="inlineStr">
        <is>
          <t>Corporate</t>
        </is>
      </c>
      <c r="I38" s="11" t="n">
        <v>3400000</v>
      </c>
      <c r="J38" s="11" t="n">
        <v>75400</v>
      </c>
      <c r="K38" s="11" t="n">
        <v>115086</v>
      </c>
      <c r="L38" s="11" t="n">
        <v>1</v>
      </c>
      <c r="M38" s="7" t="inlineStr">
        <is>
          <t>Renewed</t>
        </is>
      </c>
    </row>
    <row r="39">
      <c r="A39" s="15" t="inlineStr">
        <is>
          <t>ADM-FIR-FSD-2024-2034</t>
        </is>
      </c>
      <c r="B39" s="41" t="n">
        <v>45573</v>
      </c>
      <c r="C39" s="15" t="inlineStr">
        <is>
          <t>Faisalabad</t>
        </is>
      </c>
      <c r="D39" s="15" t="inlineStr">
        <is>
          <t>Central</t>
        </is>
      </c>
      <c r="E39" s="15" t="inlineStr">
        <is>
          <t>Fire &amp; Property</t>
        </is>
      </c>
      <c r="F39" s="15" t="inlineStr">
        <is>
          <t>Agency</t>
        </is>
      </c>
      <c r="G39" s="15" t="inlineStr">
        <is>
          <t>Junaid Akram</t>
        </is>
      </c>
      <c r="H39" s="15" t="inlineStr">
        <is>
          <t>Individual</t>
        </is>
      </c>
      <c r="I39" s="14" t="n">
        <v>47000000</v>
      </c>
      <c r="J39" s="14" t="n">
        <v>850800</v>
      </c>
      <c r="K39" s="14" t="n">
        <v>1420024</v>
      </c>
      <c r="L39" s="14" t="n">
        <v>1</v>
      </c>
      <c r="M39" s="15" t="inlineStr">
        <is>
          <t>Lapsed</t>
        </is>
      </c>
    </row>
    <row r="40">
      <c r="A40" s="7" t="inlineStr">
        <is>
          <t>ADM-TRV-MUL-2024-2035</t>
        </is>
      </c>
      <c r="B40" s="40" t="n">
        <v>45611</v>
      </c>
      <c r="C40" s="7" t="inlineStr">
        <is>
          <t>Multan</t>
        </is>
      </c>
      <c r="D40" s="7" t="inlineStr">
        <is>
          <t>Central</t>
        </is>
      </c>
      <c r="E40" s="7" t="inlineStr">
        <is>
          <t>Travel</t>
        </is>
      </c>
      <c r="F40" s="7" t="inlineStr">
        <is>
          <t>Bancassurance</t>
        </is>
      </c>
      <c r="G40" s="7" t="inlineStr">
        <is>
          <t>Hamid Raza</t>
        </is>
      </c>
      <c r="H40" s="7" t="inlineStr">
        <is>
          <t>Corporate</t>
        </is>
      </c>
      <c r="I40" s="11" t="n">
        <v>1200000</v>
      </c>
      <c r="J40" s="11" t="n">
        <v>33800</v>
      </c>
      <c r="K40" s="11" t="n">
        <v>30579</v>
      </c>
      <c r="L40" s="11" t="n">
        <v>1</v>
      </c>
      <c r="M40" s="7" t="inlineStr">
        <is>
          <t>Cancelled</t>
        </is>
      </c>
    </row>
    <row r="41">
      <c r="A41" s="15" t="inlineStr">
        <is>
          <t>ADM-MTR-PEW-2024-2036</t>
        </is>
      </c>
      <c r="B41" s="41" t="n">
        <v>45648</v>
      </c>
      <c r="C41" s="15" t="inlineStr">
        <is>
          <t>Peshawar</t>
        </is>
      </c>
      <c r="D41" s="15" t="inlineStr">
        <is>
          <t>North</t>
        </is>
      </c>
      <c r="E41" s="15" t="inlineStr">
        <is>
          <t>Motor</t>
        </is>
      </c>
      <c r="F41" s="15" t="inlineStr">
        <is>
          <t>Corporate</t>
        </is>
      </c>
      <c r="G41" s="15" t="inlineStr">
        <is>
          <t>Nimra Saleem</t>
        </is>
      </c>
      <c r="H41" s="15" t="inlineStr">
        <is>
          <t>Corporate</t>
        </is>
      </c>
      <c r="I41" s="14" t="n">
        <v>72000000</v>
      </c>
      <c r="J41" s="14" t="n">
        <v>565300</v>
      </c>
      <c r="K41" s="14" t="n">
        <v>412203</v>
      </c>
      <c r="L41" s="14" t="n">
        <v>1</v>
      </c>
      <c r="M41" s="15" t="inlineStr">
        <is>
          <t>Active</t>
        </is>
      </c>
    </row>
    <row r="42">
      <c r="A42" s="7" t="inlineStr">
        <is>
          <t>ADM-HLT-QTA-2024-2037</t>
        </is>
      </c>
      <c r="B42" s="40" t="n">
        <v>45292</v>
      </c>
      <c r="C42" s="7" t="inlineStr">
        <is>
          <t>Quetta</t>
        </is>
      </c>
      <c r="D42" s="7" t="inlineStr">
        <is>
          <t>South</t>
        </is>
      </c>
      <c r="E42" s="7" t="inlineStr">
        <is>
          <t>Health</t>
        </is>
      </c>
      <c r="F42" s="7" t="inlineStr">
        <is>
          <t>Direct</t>
        </is>
      </c>
      <c r="G42" s="7" t="inlineStr">
        <is>
          <t>Tariq Jameel</t>
        </is>
      </c>
      <c r="H42" s="7" t="inlineStr">
        <is>
          <t>Individual</t>
        </is>
      </c>
      <c r="I42" s="11" t="n">
        <v>6800000</v>
      </c>
      <c r="J42" s="11" t="n">
        <v>67400</v>
      </c>
      <c r="K42" s="11" t="n">
        <v>48692</v>
      </c>
      <c r="L42" s="11" t="n">
        <v>1</v>
      </c>
      <c r="M42" s="7" t="inlineStr">
        <is>
          <t>Active</t>
        </is>
      </c>
    </row>
    <row r="43">
      <c r="A43" s="15" t="inlineStr">
        <is>
          <t>ADM-MSC-HYD-2024-2038</t>
        </is>
      </c>
      <c r="B43" s="41" t="n">
        <v>45330</v>
      </c>
      <c r="C43" s="15" t="inlineStr">
        <is>
          <t>Hyderabad</t>
        </is>
      </c>
      <c r="D43" s="15" t="inlineStr">
        <is>
          <t>South</t>
        </is>
      </c>
      <c r="E43" s="15" t="inlineStr">
        <is>
          <t>Miscellaneous</t>
        </is>
      </c>
      <c r="F43" s="15" t="inlineStr">
        <is>
          <t>Agency</t>
        </is>
      </c>
      <c r="G43" s="15" t="inlineStr">
        <is>
          <t>Nadia Hassan</t>
        </is>
      </c>
      <c r="H43" s="15" t="inlineStr">
        <is>
          <t>Corporate</t>
        </is>
      </c>
      <c r="I43" s="14" t="n">
        <v>72000000</v>
      </c>
      <c r="J43" s="14" t="n">
        <v>1545300</v>
      </c>
      <c r="K43" s="14" t="n">
        <v>2216356</v>
      </c>
      <c r="L43" s="14" t="n">
        <v>1</v>
      </c>
      <c r="M43" s="15" t="inlineStr">
        <is>
          <t>Renewed</t>
        </is>
      </c>
    </row>
    <row r="44">
      <c r="A44" s="7" t="inlineStr">
        <is>
          <t>ADM-MAR-SKT-2024-2039</t>
        </is>
      </c>
      <c r="B44" s="40" t="n">
        <v>45366</v>
      </c>
      <c r="C44" s="7" t="inlineStr">
        <is>
          <t>Sialkot</t>
        </is>
      </c>
      <c r="D44" s="7" t="inlineStr">
        <is>
          <t>Central</t>
        </is>
      </c>
      <c r="E44" s="7" t="inlineStr">
        <is>
          <t>Marine Cargo</t>
        </is>
      </c>
      <c r="F44" s="7" t="inlineStr">
        <is>
          <t>Bancassurance</t>
        </is>
      </c>
      <c r="G44" s="7" t="inlineStr">
        <is>
          <t>Salman Shah</t>
        </is>
      </c>
      <c r="H44" s="7" t="inlineStr">
        <is>
          <t>Corporate</t>
        </is>
      </c>
      <c r="I44" s="11" t="n">
        <v>6800000</v>
      </c>
      <c r="J44" s="11" t="n">
        <v>69600</v>
      </c>
      <c r="K44" s="11" t="n">
        <v>27900</v>
      </c>
      <c r="L44" s="11" t="n">
        <v>1</v>
      </c>
      <c r="M44" s="7" t="inlineStr">
        <is>
          <t>Lapsed</t>
        </is>
      </c>
    </row>
    <row r="45">
      <c r="A45" s="15" t="inlineStr">
        <is>
          <t>ADM-ENG-RWP-2024-2040</t>
        </is>
      </c>
      <c r="B45" s="41" t="n">
        <v>45404</v>
      </c>
      <c r="C45" s="15" t="inlineStr">
        <is>
          <t>Rawalpindi</t>
        </is>
      </c>
      <c r="D45" s="15" t="inlineStr">
        <is>
          <t>North</t>
        </is>
      </c>
      <c r="E45" s="15" t="inlineStr">
        <is>
          <t>Engineering</t>
        </is>
      </c>
      <c r="F45" s="15" t="inlineStr">
        <is>
          <t>Corporate</t>
        </is>
      </c>
      <c r="G45" s="15" t="inlineStr">
        <is>
          <t>Komal Bashir</t>
        </is>
      </c>
      <c r="H45" s="15" t="inlineStr">
        <is>
          <t>Individual</t>
        </is>
      </c>
      <c r="I45" s="14" t="n">
        <v>19000000</v>
      </c>
      <c r="J45" s="14" t="n">
        <v>342100</v>
      </c>
      <c r="K45" s="14" t="n">
        <v>194150</v>
      </c>
      <c r="L45" s="14" t="n">
        <v>1</v>
      </c>
      <c r="M45" s="15" t="inlineStr">
        <is>
          <t>Cancelled</t>
        </is>
      </c>
    </row>
    <row r="46">
      <c r="A46" s="7" t="inlineStr">
        <is>
          <t>ADM-FIR-KHI-2024-2041</t>
        </is>
      </c>
      <c r="B46" s="40" t="n">
        <v>45413</v>
      </c>
      <c r="C46" s="7" t="inlineStr">
        <is>
          <t>Karachi Main</t>
        </is>
      </c>
      <c r="D46" s="7" t="inlineStr">
        <is>
          <t>South</t>
        </is>
      </c>
      <c r="E46" s="7" t="inlineStr">
        <is>
          <t>Fire &amp; Property</t>
        </is>
      </c>
      <c r="F46" s="7" t="inlineStr">
        <is>
          <t>Direct</t>
        </is>
      </c>
      <c r="G46" s="7" t="inlineStr">
        <is>
          <t>Waqar Younis Khan</t>
        </is>
      </c>
      <c r="H46" s="7" t="inlineStr">
        <is>
          <t>Corporate</t>
        </is>
      </c>
      <c r="I46" s="11" t="n">
        <v>1200000</v>
      </c>
      <c r="J46" s="11" t="n">
        <v>33100</v>
      </c>
      <c r="K46" s="11" t="n">
        <v>22602</v>
      </c>
      <c r="L46" s="11" t="n">
        <v>1</v>
      </c>
      <c r="M46" s="7" t="inlineStr">
        <is>
          <t>Active</t>
        </is>
      </c>
    </row>
    <row r="47">
      <c r="A47" s="15" t="inlineStr">
        <is>
          <t>ADM-TRV-LHR-2024-2042</t>
        </is>
      </c>
      <c r="B47" s="41" t="n">
        <v>45451</v>
      </c>
      <c r="C47" s="15" t="inlineStr">
        <is>
          <t>Lahore Gulberg</t>
        </is>
      </c>
      <c r="D47" s="15" t="inlineStr">
        <is>
          <t>Central</t>
        </is>
      </c>
      <c r="E47" s="15" t="inlineStr">
        <is>
          <t>Travel</t>
        </is>
      </c>
      <c r="F47" s="15" t="inlineStr">
        <is>
          <t>Agency</t>
        </is>
      </c>
      <c r="G47" s="15" t="inlineStr">
        <is>
          <t>Amna Zubair</t>
        </is>
      </c>
      <c r="H47" s="15" t="inlineStr">
        <is>
          <t>Corporate</t>
        </is>
      </c>
      <c r="I47" s="14" t="n">
        <v>1200000</v>
      </c>
      <c r="J47" s="14" t="n">
        <v>33900</v>
      </c>
      <c r="K47" s="14" t="n">
        <v>38937</v>
      </c>
      <c r="L47" s="14" t="n">
        <v>1</v>
      </c>
      <c r="M47" s="15" t="inlineStr">
        <is>
          <t>Active</t>
        </is>
      </c>
    </row>
    <row r="48">
      <c r="A48" s="7" t="inlineStr">
        <is>
          <t>ADM-MTR-ISB-2024-2043</t>
        </is>
      </c>
      <c r="B48" s="40" t="n">
        <v>45488</v>
      </c>
      <c r="C48" s="7" t="inlineStr">
        <is>
          <t>Islamabad Blue Area</t>
        </is>
      </c>
      <c r="D48" s="7" t="inlineStr">
        <is>
          <t>North</t>
        </is>
      </c>
      <c r="E48" s="7" t="inlineStr">
        <is>
          <t>Motor</t>
        </is>
      </c>
      <c r="F48" s="7" t="inlineStr">
        <is>
          <t>Bancassurance</t>
        </is>
      </c>
      <c r="G48" s="7" t="inlineStr">
        <is>
          <t>Rizwan Ali Soomro</t>
        </is>
      </c>
      <c r="H48" s="7" t="inlineStr">
        <is>
          <t>Individual</t>
        </is>
      </c>
      <c r="I48" s="11" t="n">
        <v>1200000</v>
      </c>
      <c r="J48" s="11" t="n">
        <v>32500</v>
      </c>
      <c r="K48" s="11" t="n">
        <v>832</v>
      </c>
      <c r="L48" s="11" t="n">
        <v>1</v>
      </c>
      <c r="M48" s="7" t="inlineStr">
        <is>
          <t>Renewed</t>
        </is>
      </c>
    </row>
    <row r="49">
      <c r="A49" s="15" t="inlineStr">
        <is>
          <t>ADM-HLT-FSD-2024-2044</t>
        </is>
      </c>
      <c r="B49" s="41" t="n">
        <v>45526</v>
      </c>
      <c r="C49" s="15" t="inlineStr">
        <is>
          <t>Faisalabad</t>
        </is>
      </c>
      <c r="D49" s="15" t="inlineStr">
        <is>
          <t>Central</t>
        </is>
      </c>
      <c r="E49" s="15" t="inlineStr">
        <is>
          <t>Health</t>
        </is>
      </c>
      <c r="F49" s="15" t="inlineStr">
        <is>
          <t>Corporate</t>
        </is>
      </c>
      <c r="G49" s="15" t="inlineStr">
        <is>
          <t>Farhan Dar</t>
        </is>
      </c>
      <c r="H49" s="15" t="inlineStr">
        <is>
          <t>Corporate</t>
        </is>
      </c>
      <c r="I49" s="14" t="n">
        <v>19000000</v>
      </c>
      <c r="J49" s="14" t="n">
        <v>533700</v>
      </c>
      <c r="K49" s="14" t="n">
        <v>328720</v>
      </c>
      <c r="L49" s="14" t="n">
        <v>1</v>
      </c>
      <c r="M49" s="15" t="inlineStr">
        <is>
          <t>Lapsed</t>
        </is>
      </c>
    </row>
    <row r="50">
      <c r="A50" s="7" t="inlineStr">
        <is>
          <t>ADM-MSC-MUL-2024-2045</t>
        </is>
      </c>
      <c r="B50" s="40" t="n">
        <v>45536</v>
      </c>
      <c r="C50" s="7" t="inlineStr">
        <is>
          <t>Multan</t>
        </is>
      </c>
      <c r="D50" s="7" t="inlineStr">
        <is>
          <t>Central</t>
        </is>
      </c>
      <c r="E50" s="7" t="inlineStr">
        <is>
          <t>Miscellaneous</t>
        </is>
      </c>
      <c r="F50" s="7" t="inlineStr">
        <is>
          <t>Direct</t>
        </is>
      </c>
      <c r="G50" s="7" t="inlineStr">
        <is>
          <t>Sobia Naz</t>
        </is>
      </c>
      <c r="H50" s="7" t="inlineStr">
        <is>
          <t>Corporate</t>
        </is>
      </c>
      <c r="I50" s="11" t="n">
        <v>6800000</v>
      </c>
      <c r="J50" s="11" t="n">
        <v>98700</v>
      </c>
      <c r="K50" s="11" t="n">
        <v>82186</v>
      </c>
      <c r="L50" s="11" t="n">
        <v>1</v>
      </c>
      <c r="M50" s="7" t="inlineStr">
        <is>
          <t>Cancelled</t>
        </is>
      </c>
    </row>
    <row r="51">
      <c r="A51" s="15" t="inlineStr">
        <is>
          <t>ADM-MAR-PEW-2024-2046</t>
        </is>
      </c>
      <c r="B51" s="41" t="n">
        <v>45573</v>
      </c>
      <c r="C51" s="15" t="inlineStr">
        <is>
          <t>Peshawar</t>
        </is>
      </c>
      <c r="D51" s="15" t="inlineStr">
        <is>
          <t>North</t>
        </is>
      </c>
      <c r="E51" s="15" t="inlineStr">
        <is>
          <t>Marine Cargo</t>
        </is>
      </c>
      <c r="F51" s="15" t="inlineStr">
        <is>
          <t>Agency</t>
        </is>
      </c>
      <c r="G51" s="15" t="inlineStr">
        <is>
          <t>Junaid Akram</t>
        </is>
      </c>
      <c r="H51" s="15" t="inlineStr">
        <is>
          <t>Individual</t>
        </is>
      </c>
      <c r="I51" s="14" t="n">
        <v>6800000</v>
      </c>
      <c r="J51" s="14" t="n">
        <v>86800</v>
      </c>
      <c r="K51" s="14" t="n">
        <v>159241</v>
      </c>
      <c r="L51" s="14" t="n">
        <v>1</v>
      </c>
      <c r="M51" s="15" t="inlineStr">
        <is>
          <t>Active</t>
        </is>
      </c>
    </row>
    <row r="52">
      <c r="A52" s="7" t="inlineStr">
        <is>
          <t>ADM-ENG-QTA-2024-2047</t>
        </is>
      </c>
      <c r="B52" s="40" t="n">
        <v>45611</v>
      </c>
      <c r="C52" s="7" t="inlineStr">
        <is>
          <t>Quetta</t>
        </is>
      </c>
      <c r="D52" s="7" t="inlineStr">
        <is>
          <t>South</t>
        </is>
      </c>
      <c r="E52" s="7" t="inlineStr">
        <is>
          <t>Engineering</t>
        </is>
      </c>
      <c r="F52" s="7" t="inlineStr">
        <is>
          <t>Bancassurance</t>
        </is>
      </c>
      <c r="G52" s="7" t="inlineStr">
        <is>
          <t>Hamid Raza</t>
        </is>
      </c>
      <c r="H52" s="7" t="inlineStr">
        <is>
          <t>Corporate</t>
        </is>
      </c>
      <c r="I52" s="11" t="n">
        <v>11500000</v>
      </c>
      <c r="J52" s="11" t="n">
        <v>241200</v>
      </c>
      <c r="K52" s="11" t="n">
        <v>123144</v>
      </c>
      <c r="L52" s="11" t="n">
        <v>1</v>
      </c>
      <c r="M52" s="7" t="inlineStr">
        <is>
          <t>Active</t>
        </is>
      </c>
    </row>
    <row r="53">
      <c r="A53" s="15" t="inlineStr">
        <is>
          <t>ADM-FIR-HYD-2024-2048</t>
        </is>
      </c>
      <c r="B53" s="41" t="n">
        <v>45648</v>
      </c>
      <c r="C53" s="15" t="inlineStr">
        <is>
          <t>Hyderabad</t>
        </is>
      </c>
      <c r="D53" s="15" t="inlineStr">
        <is>
          <t>South</t>
        </is>
      </c>
      <c r="E53" s="15" t="inlineStr">
        <is>
          <t>Fire &amp; Property</t>
        </is>
      </c>
      <c r="F53" s="15" t="inlineStr">
        <is>
          <t>Corporate</t>
        </is>
      </c>
      <c r="G53" s="15" t="inlineStr">
        <is>
          <t>Nimra Saleem</t>
        </is>
      </c>
      <c r="H53" s="15" t="inlineStr">
        <is>
          <t>Corporate</t>
        </is>
      </c>
      <c r="I53" s="14" t="n">
        <v>72000000</v>
      </c>
      <c r="J53" s="14" t="n">
        <v>750700</v>
      </c>
      <c r="K53" s="14" t="n">
        <v>1310060</v>
      </c>
      <c r="L53" s="14" t="n">
        <v>1</v>
      </c>
      <c r="M53" s="15" t="inlineStr">
        <is>
          <t>Renewed</t>
        </is>
      </c>
    </row>
    <row r="54">
      <c r="A54" s="7" t="inlineStr">
        <is>
          <t>ADM-TRV-SKT-2024-2049</t>
        </is>
      </c>
      <c r="B54" s="40" t="n">
        <v>45292</v>
      </c>
      <c r="C54" s="7" t="inlineStr">
        <is>
          <t>Sialkot</t>
        </is>
      </c>
      <c r="D54" s="7" t="inlineStr">
        <is>
          <t>Central</t>
        </is>
      </c>
      <c r="E54" s="7" t="inlineStr">
        <is>
          <t>Travel</t>
        </is>
      </c>
      <c r="F54" s="7" t="inlineStr">
        <is>
          <t>Direct</t>
        </is>
      </c>
      <c r="G54" s="7" t="inlineStr">
        <is>
          <t>Tariq Jameel</t>
        </is>
      </c>
      <c r="H54" s="7" t="inlineStr">
        <is>
          <t>Individual</t>
        </is>
      </c>
      <c r="I54" s="11" t="n">
        <v>72000000</v>
      </c>
      <c r="J54" s="11" t="n">
        <v>1755700</v>
      </c>
      <c r="K54" s="11" t="n">
        <v>112983</v>
      </c>
      <c r="L54" s="11" t="n">
        <v>1</v>
      </c>
      <c r="M54" s="7" t="inlineStr">
        <is>
          <t>Lapsed</t>
        </is>
      </c>
    </row>
    <row r="55">
      <c r="A55" s="15" t="inlineStr">
        <is>
          <t>ADM-MTR-RWP-2024-2050</t>
        </is>
      </c>
      <c r="B55" s="41" t="n">
        <v>45330</v>
      </c>
      <c r="C55" s="15" t="inlineStr">
        <is>
          <t>Rawalpindi</t>
        </is>
      </c>
      <c r="D55" s="15" t="inlineStr">
        <is>
          <t>North</t>
        </is>
      </c>
      <c r="E55" s="15" t="inlineStr">
        <is>
          <t>Motor</t>
        </is>
      </c>
      <c r="F55" s="15" t="inlineStr">
        <is>
          <t>Agency</t>
        </is>
      </c>
      <c r="G55" s="15" t="inlineStr">
        <is>
          <t>Nadia Hassan</t>
        </is>
      </c>
      <c r="H55" s="15" t="inlineStr">
        <is>
          <t>Corporate</t>
        </is>
      </c>
      <c r="I55" s="14" t="n">
        <v>1200000</v>
      </c>
      <c r="J55" s="14" t="n">
        <v>9200</v>
      </c>
      <c r="K55" s="14" t="n">
        <v>10507</v>
      </c>
      <c r="L55" s="14" t="n">
        <v>1</v>
      </c>
      <c r="M55" s="15" t="inlineStr">
        <is>
          <t>Cancelled</t>
        </is>
      </c>
    </row>
    <row r="56">
      <c r="A56" s="7" t="inlineStr">
        <is>
          <t>ADM-HLT-KHI-2024-2051</t>
        </is>
      </c>
      <c r="B56" s="40" t="n">
        <v>45366</v>
      </c>
      <c r="C56" s="7" t="inlineStr">
        <is>
          <t>Karachi Main</t>
        </is>
      </c>
      <c r="D56" s="7" t="inlineStr">
        <is>
          <t>South</t>
        </is>
      </c>
      <c r="E56" s="7" t="inlineStr">
        <is>
          <t>Health</t>
        </is>
      </c>
      <c r="F56" s="7" t="inlineStr">
        <is>
          <t>Bancassurance</t>
        </is>
      </c>
      <c r="G56" s="7" t="inlineStr">
        <is>
          <t>Salman Shah</t>
        </is>
      </c>
      <c r="H56" s="7" t="inlineStr">
        <is>
          <t>Corporate</t>
        </is>
      </c>
      <c r="I56" s="11" t="n">
        <v>1200000</v>
      </c>
      <c r="J56" s="11" t="n">
        <v>27200</v>
      </c>
      <c r="K56" s="11" t="n">
        <v>43127</v>
      </c>
      <c r="L56" s="11" t="n">
        <v>1</v>
      </c>
      <c r="M56" s="7" t="inlineStr">
        <is>
          <t>Active</t>
        </is>
      </c>
    </row>
    <row r="57">
      <c r="A57" s="15" t="inlineStr">
        <is>
          <t>ADM-MSC-LHR-2024-2052</t>
        </is>
      </c>
      <c r="B57" s="41" t="n">
        <v>45404</v>
      </c>
      <c r="C57" s="15" t="inlineStr">
        <is>
          <t>Lahore Gulberg</t>
        </is>
      </c>
      <c r="D57" s="15" t="inlineStr">
        <is>
          <t>Central</t>
        </is>
      </c>
      <c r="E57" s="15" t="inlineStr">
        <is>
          <t>Miscellaneous</t>
        </is>
      </c>
      <c r="F57" s="15" t="inlineStr">
        <is>
          <t>Corporate</t>
        </is>
      </c>
      <c r="G57" s="15" t="inlineStr">
        <is>
          <t>Komal Bashir</t>
        </is>
      </c>
      <c r="H57" s="15" t="inlineStr">
        <is>
          <t>Individual</t>
        </is>
      </c>
      <c r="I57" s="14" t="n">
        <v>47000000</v>
      </c>
      <c r="J57" s="14" t="n">
        <v>529800</v>
      </c>
      <c r="K57" s="14" t="n">
        <v>256933</v>
      </c>
      <c r="L57" s="14" t="n">
        <v>1</v>
      </c>
      <c r="M57" s="15" t="inlineStr">
        <is>
          <t>Active</t>
        </is>
      </c>
    </row>
    <row r="58">
      <c r="A58" s="7" t="inlineStr">
        <is>
          <t>ADM-MAR-ISB-2024-2053</t>
        </is>
      </c>
      <c r="B58" s="40" t="n">
        <v>45413</v>
      </c>
      <c r="C58" s="7" t="inlineStr">
        <is>
          <t>Islamabad Blue Area</t>
        </is>
      </c>
      <c r="D58" s="7" t="inlineStr">
        <is>
          <t>North</t>
        </is>
      </c>
      <c r="E58" s="7" t="inlineStr">
        <is>
          <t>Marine Cargo</t>
        </is>
      </c>
      <c r="F58" s="7" t="inlineStr">
        <is>
          <t>Direct</t>
        </is>
      </c>
      <c r="G58" s="7" t="inlineStr">
        <is>
          <t>Waqar Younis Khan</t>
        </is>
      </c>
      <c r="H58" s="7" t="inlineStr">
        <is>
          <t>Corporate</t>
        </is>
      </c>
      <c r="I58" s="11" t="n">
        <v>72000000</v>
      </c>
      <c r="J58" s="11" t="n">
        <v>1845200</v>
      </c>
      <c r="K58" s="11" t="n">
        <v>901690</v>
      </c>
      <c r="L58" s="11" t="n">
        <v>1</v>
      </c>
      <c r="M58" s="7" t="inlineStr">
        <is>
          <t>Renewed</t>
        </is>
      </c>
    </row>
    <row r="59">
      <c r="A59" s="15" t="inlineStr">
        <is>
          <t>ADM-ENG-FSD-2024-2054</t>
        </is>
      </c>
      <c r="B59" s="41" t="n">
        <v>45451</v>
      </c>
      <c r="C59" s="15" t="inlineStr">
        <is>
          <t>Faisalabad</t>
        </is>
      </c>
      <c r="D59" s="15" t="inlineStr">
        <is>
          <t>Central</t>
        </is>
      </c>
      <c r="E59" s="15" t="inlineStr">
        <is>
          <t>Engineering</t>
        </is>
      </c>
      <c r="F59" s="15" t="inlineStr">
        <is>
          <t>Agency</t>
        </is>
      </c>
      <c r="G59" s="15" t="inlineStr">
        <is>
          <t>Amna Zubair</t>
        </is>
      </c>
      <c r="H59" s="15" t="inlineStr">
        <is>
          <t>Corporate</t>
        </is>
      </c>
      <c r="I59" s="14" t="n">
        <v>72000000</v>
      </c>
      <c r="J59" s="14" t="n">
        <v>439500</v>
      </c>
      <c r="K59" s="14" t="n">
        <v>142358</v>
      </c>
      <c r="L59" s="14" t="n">
        <v>1</v>
      </c>
      <c r="M59" s="15" t="inlineStr">
        <is>
          <t>Lapsed</t>
        </is>
      </c>
    </row>
    <row r="60">
      <c r="A60" s="7" t="inlineStr">
        <is>
          <t>ADM-FIR-MUL-2024-2055</t>
        </is>
      </c>
      <c r="B60" s="40" t="n">
        <v>45488</v>
      </c>
      <c r="C60" s="7" t="inlineStr">
        <is>
          <t>Multan</t>
        </is>
      </c>
      <c r="D60" s="7" t="inlineStr">
        <is>
          <t>Central</t>
        </is>
      </c>
      <c r="E60" s="7" t="inlineStr">
        <is>
          <t>Fire &amp; Property</t>
        </is>
      </c>
      <c r="F60" s="7" t="inlineStr">
        <is>
          <t>Bancassurance</t>
        </is>
      </c>
      <c r="G60" s="7" t="inlineStr">
        <is>
          <t>Rizwan Ali Soomro</t>
        </is>
      </c>
      <c r="H60" s="7" t="inlineStr">
        <is>
          <t>Individual</t>
        </is>
      </c>
      <c r="I60" s="11" t="n">
        <v>72000000</v>
      </c>
      <c r="J60" s="11" t="n">
        <v>1904500</v>
      </c>
      <c r="K60" s="11" t="n">
        <v>2127168</v>
      </c>
      <c r="L60" s="11" t="n">
        <v>1</v>
      </c>
      <c r="M60" s="7" t="inlineStr">
        <is>
          <t>Cancelled</t>
        </is>
      </c>
    </row>
    <row r="61">
      <c r="A61" s="15" t="inlineStr">
        <is>
          <t>ADM-TRV-PEW-2024-2056</t>
        </is>
      </c>
      <c r="B61" s="41" t="n">
        <v>45526</v>
      </c>
      <c r="C61" s="15" t="inlineStr">
        <is>
          <t>Peshawar</t>
        </is>
      </c>
      <c r="D61" s="15" t="inlineStr">
        <is>
          <t>North</t>
        </is>
      </c>
      <c r="E61" s="15" t="inlineStr">
        <is>
          <t>Travel</t>
        </is>
      </c>
      <c r="F61" s="15" t="inlineStr">
        <is>
          <t>Corporate</t>
        </is>
      </c>
      <c r="G61" s="15" t="inlineStr">
        <is>
          <t>Farhan Dar</t>
        </is>
      </c>
      <c r="H61" s="15" t="inlineStr">
        <is>
          <t>Corporate</t>
        </is>
      </c>
      <c r="I61" s="14" t="n">
        <v>72000000</v>
      </c>
      <c r="J61" s="14" t="n">
        <v>2216000</v>
      </c>
      <c r="K61" s="14" t="n">
        <v>844750</v>
      </c>
      <c r="L61" s="14" t="n">
        <v>1</v>
      </c>
      <c r="M61" s="15" t="inlineStr">
        <is>
          <t>Active</t>
        </is>
      </c>
    </row>
    <row r="62">
      <c r="A62" s="7" t="inlineStr">
        <is>
          <t>ADM-MTR-QTA-2024-2057</t>
        </is>
      </c>
      <c r="B62" s="40" t="n">
        <v>45536</v>
      </c>
      <c r="C62" s="7" t="inlineStr">
        <is>
          <t>Quetta</t>
        </is>
      </c>
      <c r="D62" s="7" t="inlineStr">
        <is>
          <t>South</t>
        </is>
      </c>
      <c r="E62" s="7" t="inlineStr">
        <is>
          <t>Motor</t>
        </is>
      </c>
      <c r="F62" s="7" t="inlineStr">
        <is>
          <t>Direct</t>
        </is>
      </c>
      <c r="G62" s="7" t="inlineStr">
        <is>
          <t>Sobia Naz</t>
        </is>
      </c>
      <c r="H62" s="7" t="inlineStr">
        <is>
          <t>Corporate</t>
        </is>
      </c>
      <c r="I62" s="11" t="n">
        <v>6800000</v>
      </c>
      <c r="J62" s="11" t="n">
        <v>205000</v>
      </c>
      <c r="K62" s="11" t="n">
        <v>340836</v>
      </c>
      <c r="L62" s="11" t="n">
        <v>1</v>
      </c>
      <c r="M62" s="7" t="inlineStr">
        <is>
          <t>Active</t>
        </is>
      </c>
    </row>
    <row r="63">
      <c r="A63" s="15" t="inlineStr">
        <is>
          <t>ADM-HLT-HYD-2024-2058</t>
        </is>
      </c>
      <c r="B63" s="41" t="n">
        <v>45573</v>
      </c>
      <c r="C63" s="15" t="inlineStr">
        <is>
          <t>Hyderabad</t>
        </is>
      </c>
      <c r="D63" s="15" t="inlineStr">
        <is>
          <t>South</t>
        </is>
      </c>
      <c r="E63" s="15" t="inlineStr">
        <is>
          <t>Health</t>
        </is>
      </c>
      <c r="F63" s="15" t="inlineStr">
        <is>
          <t>Agency</t>
        </is>
      </c>
      <c r="G63" s="15" t="inlineStr">
        <is>
          <t>Junaid Akram</t>
        </is>
      </c>
      <c r="H63" s="15" t="inlineStr">
        <is>
          <t>Individual</t>
        </is>
      </c>
      <c r="I63" s="14" t="n">
        <v>47000000</v>
      </c>
      <c r="J63" s="14" t="n">
        <v>625000</v>
      </c>
      <c r="K63" s="14" t="n">
        <v>389202</v>
      </c>
      <c r="L63" s="14" t="n">
        <v>1</v>
      </c>
      <c r="M63" s="15" t="inlineStr">
        <is>
          <t>Renewed</t>
        </is>
      </c>
    </row>
    <row r="64">
      <c r="A64" s="7" t="inlineStr">
        <is>
          <t>ADM-MSC-SKT-2024-2059</t>
        </is>
      </c>
      <c r="B64" s="40" t="n">
        <v>45611</v>
      </c>
      <c r="C64" s="7" t="inlineStr">
        <is>
          <t>Sialkot</t>
        </is>
      </c>
      <c r="D64" s="7" t="inlineStr">
        <is>
          <t>Central</t>
        </is>
      </c>
      <c r="E64" s="7" t="inlineStr">
        <is>
          <t>Miscellaneous</t>
        </is>
      </c>
      <c r="F64" s="7" t="inlineStr">
        <is>
          <t>Bancassurance</t>
        </is>
      </c>
      <c r="G64" s="7" t="inlineStr">
        <is>
          <t>Hamid Raza</t>
        </is>
      </c>
      <c r="H64" s="7" t="inlineStr">
        <is>
          <t>Corporate</t>
        </is>
      </c>
      <c r="I64" s="11" t="n">
        <v>28000000</v>
      </c>
      <c r="J64" s="11" t="n">
        <v>848100</v>
      </c>
      <c r="K64" s="11" t="n">
        <v>1353456</v>
      </c>
      <c r="L64" s="11" t="n">
        <v>1</v>
      </c>
      <c r="M64" s="7" t="inlineStr">
        <is>
          <t>Lapsed</t>
        </is>
      </c>
    </row>
    <row r="65">
      <c r="A65" s="15" t="inlineStr">
        <is>
          <t>ADM-MAR-RWP-2024-2060</t>
        </is>
      </c>
      <c r="B65" s="41" t="n">
        <v>45648</v>
      </c>
      <c r="C65" s="15" t="inlineStr">
        <is>
          <t>Rawalpindi</t>
        </is>
      </c>
      <c r="D65" s="15" t="inlineStr">
        <is>
          <t>North</t>
        </is>
      </c>
      <c r="E65" s="15" t="inlineStr">
        <is>
          <t>Marine Cargo</t>
        </is>
      </c>
      <c r="F65" s="15" t="inlineStr">
        <is>
          <t>Corporate</t>
        </is>
      </c>
      <c r="G65" s="15" t="inlineStr">
        <is>
          <t>Nimra Saleem</t>
        </is>
      </c>
      <c r="H65" s="15" t="inlineStr">
        <is>
          <t>Corporate</t>
        </is>
      </c>
      <c r="I65" s="14" t="n">
        <v>19000000</v>
      </c>
      <c r="J65" s="14" t="n">
        <v>293100</v>
      </c>
      <c r="K65" s="14" t="n">
        <v>355754</v>
      </c>
      <c r="L65" s="14" t="n">
        <v>1</v>
      </c>
      <c r="M65" s="15" t="inlineStr">
        <is>
          <t>Cancelled</t>
        </is>
      </c>
    </row>
    <row r="66">
      <c r="A66" s="7" t="inlineStr">
        <is>
          <t>ADM-ENG-KHI-2024-2061</t>
        </is>
      </c>
      <c r="B66" s="40" t="n">
        <v>45292</v>
      </c>
      <c r="C66" s="7" t="inlineStr">
        <is>
          <t>Karachi Main</t>
        </is>
      </c>
      <c r="D66" s="7" t="inlineStr">
        <is>
          <t>South</t>
        </is>
      </c>
      <c r="E66" s="7" t="inlineStr">
        <is>
          <t>Engineering</t>
        </is>
      </c>
      <c r="F66" s="7" t="inlineStr">
        <is>
          <t>Direct</t>
        </is>
      </c>
      <c r="G66" s="7" t="inlineStr">
        <is>
          <t>Tariq Jameel</t>
        </is>
      </c>
      <c r="H66" s="7" t="inlineStr">
        <is>
          <t>Individual</t>
        </is>
      </c>
      <c r="I66" s="11" t="n">
        <v>3400000</v>
      </c>
      <c r="J66" s="11" t="n">
        <v>99500</v>
      </c>
      <c r="K66" s="11" t="n">
        <v>58895</v>
      </c>
      <c r="L66" s="11" t="n">
        <v>1</v>
      </c>
      <c r="M66" s="7" t="inlineStr">
        <is>
          <t>Active</t>
        </is>
      </c>
    </row>
    <row r="67">
      <c r="A67" s="15" t="inlineStr">
        <is>
          <t>ADM-FIR-LHR-2024-2062</t>
        </is>
      </c>
      <c r="B67" s="41" t="n">
        <v>45330</v>
      </c>
      <c r="C67" s="15" t="inlineStr">
        <is>
          <t>Lahore Gulberg</t>
        </is>
      </c>
      <c r="D67" s="15" t="inlineStr">
        <is>
          <t>Central</t>
        </is>
      </c>
      <c r="E67" s="15" t="inlineStr">
        <is>
          <t>Fire &amp; Property</t>
        </is>
      </c>
      <c r="F67" s="15" t="inlineStr">
        <is>
          <t>Agency</t>
        </is>
      </c>
      <c r="G67" s="15" t="inlineStr">
        <is>
          <t>Nadia Hassan</t>
        </is>
      </c>
      <c r="H67" s="15" t="inlineStr">
        <is>
          <t>Corporate</t>
        </is>
      </c>
      <c r="I67" s="14" t="n">
        <v>72000000</v>
      </c>
      <c r="J67" s="14" t="n">
        <v>482300</v>
      </c>
      <c r="K67" s="14" t="n">
        <v>734148</v>
      </c>
      <c r="L67" s="14" t="n">
        <v>1</v>
      </c>
      <c r="M67" s="15" t="inlineStr">
        <is>
          <t>Active</t>
        </is>
      </c>
    </row>
    <row r="68">
      <c r="A68" s="7" t="inlineStr">
        <is>
          <t>ADM-TRV-ISB-2024-2063</t>
        </is>
      </c>
      <c r="B68" s="40" t="n">
        <v>45366</v>
      </c>
      <c r="C68" s="7" t="inlineStr">
        <is>
          <t>Islamabad Blue Area</t>
        </is>
      </c>
      <c r="D68" s="7" t="inlineStr">
        <is>
          <t>North</t>
        </is>
      </c>
      <c r="E68" s="7" t="inlineStr">
        <is>
          <t>Travel</t>
        </is>
      </c>
      <c r="F68" s="7" t="inlineStr">
        <is>
          <t>Bancassurance</t>
        </is>
      </c>
      <c r="G68" s="7" t="inlineStr">
        <is>
          <t>Salman Shah</t>
        </is>
      </c>
      <c r="H68" s="7" t="inlineStr">
        <is>
          <t>Corporate</t>
        </is>
      </c>
      <c r="I68" s="11" t="n">
        <v>47000000</v>
      </c>
      <c r="J68" s="11" t="n">
        <v>829800</v>
      </c>
      <c r="K68" s="11" t="n">
        <v>459043</v>
      </c>
      <c r="L68" s="11" t="n">
        <v>1</v>
      </c>
      <c r="M68" s="7" t="inlineStr">
        <is>
          <t>Renewed</t>
        </is>
      </c>
    </row>
    <row r="69">
      <c r="A69" s="15" t="inlineStr">
        <is>
          <t>ADM-MTR-FSD-2024-2064</t>
        </is>
      </c>
      <c r="B69" s="41" t="n">
        <v>45404</v>
      </c>
      <c r="C69" s="15" t="inlineStr">
        <is>
          <t>Faisalabad</t>
        </is>
      </c>
      <c r="D69" s="15" t="inlineStr">
        <is>
          <t>Central</t>
        </is>
      </c>
      <c r="E69" s="15" t="inlineStr">
        <is>
          <t>Motor</t>
        </is>
      </c>
      <c r="F69" s="15" t="inlineStr">
        <is>
          <t>Corporate</t>
        </is>
      </c>
      <c r="G69" s="15" t="inlineStr">
        <is>
          <t>Komal Bashir</t>
        </is>
      </c>
      <c r="H69" s="15" t="inlineStr">
        <is>
          <t>Individual</t>
        </is>
      </c>
      <c r="I69" s="14" t="n">
        <v>72000000</v>
      </c>
      <c r="J69" s="14" t="n">
        <v>1006900</v>
      </c>
      <c r="K69" s="14" t="n">
        <v>107807</v>
      </c>
      <c r="L69" s="14" t="n">
        <v>1</v>
      </c>
      <c r="M69" s="15" t="inlineStr">
        <is>
          <t>Lapsed</t>
        </is>
      </c>
    </row>
    <row r="70">
      <c r="A70" s="7" t="inlineStr">
        <is>
          <t>ADM-HLT-MUL-2024-2065</t>
        </is>
      </c>
      <c r="B70" s="40" t="n">
        <v>45413</v>
      </c>
      <c r="C70" s="7" t="inlineStr">
        <is>
          <t>Multan</t>
        </is>
      </c>
      <c r="D70" s="7" t="inlineStr">
        <is>
          <t>Central</t>
        </is>
      </c>
      <c r="E70" s="7" t="inlineStr">
        <is>
          <t>Health</t>
        </is>
      </c>
      <c r="F70" s="7" t="inlineStr">
        <is>
          <t>Direct</t>
        </is>
      </c>
      <c r="G70" s="7" t="inlineStr">
        <is>
          <t>Waqar Younis Khan</t>
        </is>
      </c>
      <c r="H70" s="7" t="inlineStr">
        <is>
          <t>Corporate</t>
        </is>
      </c>
      <c r="I70" s="11" t="n">
        <v>1200000</v>
      </c>
      <c r="J70" s="11" t="n">
        <v>36500</v>
      </c>
      <c r="K70" s="11" t="n">
        <v>53071</v>
      </c>
      <c r="L70" s="11" t="n">
        <v>1</v>
      </c>
      <c r="M70" s="7" t="inlineStr">
        <is>
          <t>Cancelled</t>
        </is>
      </c>
    </row>
    <row r="71">
      <c r="A71" s="15" t="inlineStr">
        <is>
          <t>ADM-MSC-PEW-2024-2066</t>
        </is>
      </c>
      <c r="B71" s="41" t="n">
        <v>45451</v>
      </c>
      <c r="C71" s="15" t="inlineStr">
        <is>
          <t>Peshawar</t>
        </is>
      </c>
      <c r="D71" s="15" t="inlineStr">
        <is>
          <t>North</t>
        </is>
      </c>
      <c r="E71" s="15" t="inlineStr">
        <is>
          <t>Miscellaneous</t>
        </is>
      </c>
      <c r="F71" s="15" t="inlineStr">
        <is>
          <t>Agency</t>
        </is>
      </c>
      <c r="G71" s="15" t="inlineStr">
        <is>
          <t>Amna Zubair</t>
        </is>
      </c>
      <c r="H71" s="15" t="inlineStr">
        <is>
          <t>Corporate</t>
        </is>
      </c>
      <c r="I71" s="14" t="n">
        <v>28000000</v>
      </c>
      <c r="J71" s="14" t="n">
        <v>489500</v>
      </c>
      <c r="K71" s="14" t="n">
        <v>196838</v>
      </c>
      <c r="L71" s="14" t="n">
        <v>1</v>
      </c>
      <c r="M71" s="15" t="inlineStr">
        <is>
          <t>Active</t>
        </is>
      </c>
    </row>
    <row r="72">
      <c r="A72" s="7" t="inlineStr">
        <is>
          <t>ADM-MAR-QTA-2024-2067</t>
        </is>
      </c>
      <c r="B72" s="40" t="n">
        <v>45488</v>
      </c>
      <c r="C72" s="7" t="inlineStr">
        <is>
          <t>Quetta</t>
        </is>
      </c>
      <c r="D72" s="7" t="inlineStr">
        <is>
          <t>South</t>
        </is>
      </c>
      <c r="E72" s="7" t="inlineStr">
        <is>
          <t>Marine Cargo</t>
        </is>
      </c>
      <c r="F72" s="7" t="inlineStr">
        <is>
          <t>Bancassurance</t>
        </is>
      </c>
      <c r="G72" s="7" t="inlineStr">
        <is>
          <t>Rizwan Ali Soomro</t>
        </is>
      </c>
      <c r="H72" s="7" t="inlineStr">
        <is>
          <t>Individual</t>
        </is>
      </c>
      <c r="I72" s="11" t="n">
        <v>3400000</v>
      </c>
      <c r="J72" s="11" t="n">
        <v>24200</v>
      </c>
      <c r="K72" s="11" t="n">
        <v>1580</v>
      </c>
      <c r="L72" s="11" t="n">
        <v>1</v>
      </c>
      <c r="M72" s="7" t="inlineStr">
        <is>
          <t>Active</t>
        </is>
      </c>
    </row>
    <row r="73">
      <c r="A73" s="15" t="inlineStr">
        <is>
          <t>ADM-ENG-HYD-2024-2068</t>
        </is>
      </c>
      <c r="B73" s="41" t="n">
        <v>45526</v>
      </c>
      <c r="C73" s="15" t="inlineStr">
        <is>
          <t>Hyderabad</t>
        </is>
      </c>
      <c r="D73" s="15" t="inlineStr">
        <is>
          <t>South</t>
        </is>
      </c>
      <c r="E73" s="15" t="inlineStr">
        <is>
          <t>Engineering</t>
        </is>
      </c>
      <c r="F73" s="15" t="inlineStr">
        <is>
          <t>Corporate</t>
        </is>
      </c>
      <c r="G73" s="15" t="inlineStr">
        <is>
          <t>Farhan Dar</t>
        </is>
      </c>
      <c r="H73" s="15" t="inlineStr">
        <is>
          <t>Corporate</t>
        </is>
      </c>
      <c r="I73" s="14" t="n">
        <v>28000000</v>
      </c>
      <c r="J73" s="14" t="n">
        <v>517500</v>
      </c>
      <c r="K73" s="14" t="n">
        <v>652081</v>
      </c>
      <c r="L73" s="14" t="n">
        <v>1</v>
      </c>
      <c r="M73" s="15" t="inlineStr">
        <is>
          <t>Renewed</t>
        </is>
      </c>
    </row>
    <row r="74">
      <c r="A74" s="7" t="inlineStr">
        <is>
          <t>ADM-FIR-SKT-2024-2069</t>
        </is>
      </c>
      <c r="B74" s="40" t="n">
        <v>45536</v>
      </c>
      <c r="C74" s="7" t="inlineStr">
        <is>
          <t>Sialkot</t>
        </is>
      </c>
      <c r="D74" s="7" t="inlineStr">
        <is>
          <t>Central</t>
        </is>
      </c>
      <c r="E74" s="7" t="inlineStr">
        <is>
          <t>Fire &amp; Property</t>
        </is>
      </c>
      <c r="F74" s="7" t="inlineStr">
        <is>
          <t>Direct</t>
        </is>
      </c>
      <c r="G74" s="7" t="inlineStr">
        <is>
          <t>Sobia Naz</t>
        </is>
      </c>
      <c r="H74" s="7" t="inlineStr">
        <is>
          <t>Corporate</t>
        </is>
      </c>
      <c r="I74" s="11" t="n">
        <v>11500000</v>
      </c>
      <c r="J74" s="11" t="n">
        <v>88300</v>
      </c>
      <c r="K74" s="11" t="n">
        <v>136682</v>
      </c>
      <c r="L74" s="11" t="n">
        <v>1</v>
      </c>
      <c r="M74" s="7" t="inlineStr">
        <is>
          <t>Lapsed</t>
        </is>
      </c>
    </row>
    <row r="75">
      <c r="A75" s="15" t="inlineStr">
        <is>
          <t>ADM-TRV-RWP-2024-2070</t>
        </is>
      </c>
      <c r="B75" s="41" t="n">
        <v>45573</v>
      </c>
      <c r="C75" s="15" t="inlineStr">
        <is>
          <t>Rawalpindi</t>
        </is>
      </c>
      <c r="D75" s="15" t="inlineStr">
        <is>
          <t>North</t>
        </is>
      </c>
      <c r="E75" s="15" t="inlineStr">
        <is>
          <t>Travel</t>
        </is>
      </c>
      <c r="F75" s="15" t="inlineStr">
        <is>
          <t>Agency</t>
        </is>
      </c>
      <c r="G75" s="15" t="inlineStr">
        <is>
          <t>Junaid Akram</t>
        </is>
      </c>
      <c r="H75" s="15" t="inlineStr">
        <is>
          <t>Individual</t>
        </is>
      </c>
      <c r="I75" s="14" t="n">
        <v>3400000</v>
      </c>
      <c r="J75" s="14" t="n">
        <v>81700</v>
      </c>
      <c r="K75" s="14" t="n">
        <v>16624</v>
      </c>
      <c r="L75" s="14" t="n">
        <v>1</v>
      </c>
      <c r="M75" s="15" t="inlineStr">
        <is>
          <t>Cancelled</t>
        </is>
      </c>
    </row>
    <row r="76">
      <c r="A76" s="7" t="inlineStr">
        <is>
          <t>ADM-MTR-KHI-2024-2071</t>
        </is>
      </c>
      <c r="B76" s="40" t="n">
        <v>45611</v>
      </c>
      <c r="C76" s="7" t="inlineStr">
        <is>
          <t>Karachi Main</t>
        </is>
      </c>
      <c r="D76" s="7" t="inlineStr">
        <is>
          <t>South</t>
        </is>
      </c>
      <c r="E76" s="7" t="inlineStr">
        <is>
          <t>Motor</t>
        </is>
      </c>
      <c r="F76" s="7" t="inlineStr">
        <is>
          <t>Bancassurance</t>
        </is>
      </c>
      <c r="G76" s="7" t="inlineStr">
        <is>
          <t>Hamid Raza</t>
        </is>
      </c>
      <c r="H76" s="7" t="inlineStr">
        <is>
          <t>Corporate</t>
        </is>
      </c>
      <c r="I76" s="11" t="n">
        <v>28000000</v>
      </c>
      <c r="J76" s="11" t="n">
        <v>161500</v>
      </c>
      <c r="K76" s="11" t="n">
        <v>16054</v>
      </c>
      <c r="L76" s="11" t="n">
        <v>1</v>
      </c>
      <c r="M76" s="7" t="inlineStr">
        <is>
          <t>Active</t>
        </is>
      </c>
    </row>
    <row r="77">
      <c r="A77" s="15" t="inlineStr">
        <is>
          <t>ADM-HLT-LHR-2024-2072</t>
        </is>
      </c>
      <c r="B77" s="41" t="n">
        <v>45648</v>
      </c>
      <c r="C77" s="15" t="inlineStr">
        <is>
          <t>Lahore Gulberg</t>
        </is>
      </c>
      <c r="D77" s="15" t="inlineStr">
        <is>
          <t>Central</t>
        </is>
      </c>
      <c r="E77" s="15" t="inlineStr">
        <is>
          <t>Health</t>
        </is>
      </c>
      <c r="F77" s="15" t="inlineStr">
        <is>
          <t>Corporate</t>
        </is>
      </c>
      <c r="G77" s="15" t="inlineStr">
        <is>
          <t>Nimra Saleem</t>
        </is>
      </c>
      <c r="H77" s="15" t="inlineStr">
        <is>
          <t>Corporate</t>
        </is>
      </c>
      <c r="I77" s="14" t="n">
        <v>19000000</v>
      </c>
      <c r="J77" s="14" t="n">
        <v>564300</v>
      </c>
      <c r="K77" s="14" t="n">
        <v>295386</v>
      </c>
      <c r="L77" s="14" t="n">
        <v>1</v>
      </c>
      <c r="M77" s="15" t="inlineStr">
        <is>
          <t>Active</t>
        </is>
      </c>
    </row>
    <row r="78">
      <c r="A78" s="7" t="inlineStr">
        <is>
          <t>ADM-MSC-ISB-2024-2073</t>
        </is>
      </c>
      <c r="B78" s="40" t="n">
        <v>45292</v>
      </c>
      <c r="C78" s="7" t="inlineStr">
        <is>
          <t>Islamabad Blue Area</t>
        </is>
      </c>
      <c r="D78" s="7" t="inlineStr">
        <is>
          <t>North</t>
        </is>
      </c>
      <c r="E78" s="7" t="inlineStr">
        <is>
          <t>Miscellaneous</t>
        </is>
      </c>
      <c r="F78" s="7" t="inlineStr">
        <is>
          <t>Direct</t>
        </is>
      </c>
      <c r="G78" s="7" t="inlineStr">
        <is>
          <t>Tariq Jameel</t>
        </is>
      </c>
      <c r="H78" s="7" t="inlineStr">
        <is>
          <t>Individual</t>
        </is>
      </c>
      <c r="I78" s="11" t="n">
        <v>47000000</v>
      </c>
      <c r="J78" s="11" t="n">
        <v>817800</v>
      </c>
      <c r="K78" s="11" t="n">
        <v>1386052</v>
      </c>
      <c r="L78" s="11" t="n">
        <v>1</v>
      </c>
      <c r="M78" s="7" t="inlineStr">
        <is>
          <t>Renewed</t>
        </is>
      </c>
    </row>
    <row r="79">
      <c r="A79" s="15" t="inlineStr">
        <is>
          <t>ADM-MAR-FSD-2024-2074</t>
        </is>
      </c>
      <c r="B79" s="41" t="n">
        <v>45330</v>
      </c>
      <c r="C79" s="15" t="inlineStr">
        <is>
          <t>Faisalabad</t>
        </is>
      </c>
      <c r="D79" s="15" t="inlineStr">
        <is>
          <t>Central</t>
        </is>
      </c>
      <c r="E79" s="15" t="inlineStr">
        <is>
          <t>Marine Cargo</t>
        </is>
      </c>
      <c r="F79" s="15" t="inlineStr">
        <is>
          <t>Agency</t>
        </is>
      </c>
      <c r="G79" s="15" t="inlineStr">
        <is>
          <t>Nadia Hassan</t>
        </is>
      </c>
      <c r="H79" s="15" t="inlineStr">
        <is>
          <t>Corporate</t>
        </is>
      </c>
      <c r="I79" s="14" t="n">
        <v>47000000</v>
      </c>
      <c r="J79" s="14" t="n">
        <v>809700</v>
      </c>
      <c r="K79" s="14" t="n">
        <v>1107509</v>
      </c>
      <c r="L79" s="14" t="n">
        <v>1</v>
      </c>
      <c r="M79" s="15" t="inlineStr">
        <is>
          <t>Lapsed</t>
        </is>
      </c>
    </row>
    <row r="80">
      <c r="A80" s="7" t="inlineStr">
        <is>
          <t>ADM-ENG-MUL-2024-2075</t>
        </is>
      </c>
      <c r="B80" s="40" t="n">
        <v>45366</v>
      </c>
      <c r="C80" s="7" t="inlineStr">
        <is>
          <t>Multan</t>
        </is>
      </c>
      <c r="D80" s="7" t="inlineStr">
        <is>
          <t>Central</t>
        </is>
      </c>
      <c r="E80" s="7" t="inlineStr">
        <is>
          <t>Engineering</t>
        </is>
      </c>
      <c r="F80" s="7" t="inlineStr">
        <is>
          <t>Bancassurance</t>
        </is>
      </c>
      <c r="G80" s="7" t="inlineStr">
        <is>
          <t>Salman Shah</t>
        </is>
      </c>
      <c r="H80" s="7" t="inlineStr">
        <is>
          <t>Corporate</t>
        </is>
      </c>
      <c r="I80" s="11" t="n">
        <v>28000000</v>
      </c>
      <c r="J80" s="11" t="n">
        <v>314100</v>
      </c>
      <c r="K80" s="11" t="n">
        <v>530669</v>
      </c>
      <c r="L80" s="11" t="n">
        <v>1</v>
      </c>
      <c r="M80" s="7" t="inlineStr">
        <is>
          <t>Cancelled</t>
        </is>
      </c>
    </row>
    <row r="81">
      <c r="A81" s="15" t="inlineStr">
        <is>
          <t>ADM-FIR-PEW-2024-2076</t>
        </is>
      </c>
      <c r="B81" s="41" t="n">
        <v>45404</v>
      </c>
      <c r="C81" s="15" t="inlineStr">
        <is>
          <t>Peshawar</t>
        </is>
      </c>
      <c r="D81" s="15" t="inlineStr">
        <is>
          <t>North</t>
        </is>
      </c>
      <c r="E81" s="15" t="inlineStr">
        <is>
          <t>Fire &amp; Property</t>
        </is>
      </c>
      <c r="F81" s="15" t="inlineStr">
        <is>
          <t>Corporate</t>
        </is>
      </c>
      <c r="G81" s="15" t="inlineStr">
        <is>
          <t>Komal Bashir</t>
        </is>
      </c>
      <c r="H81" s="15" t="inlineStr">
        <is>
          <t>Individual</t>
        </is>
      </c>
      <c r="I81" s="14" t="n">
        <v>3400000</v>
      </c>
      <c r="J81" s="14" t="n">
        <v>56300</v>
      </c>
      <c r="K81" s="14" t="n">
        <v>84054</v>
      </c>
      <c r="L81" s="14" t="n">
        <v>1</v>
      </c>
      <c r="M81" s="15" t="inlineStr">
        <is>
          <t>Active</t>
        </is>
      </c>
    </row>
    <row r="82">
      <c r="A82" s="7" t="inlineStr">
        <is>
          <t>ADM-TRV-QTA-2024-2077</t>
        </is>
      </c>
      <c r="B82" s="40" t="n">
        <v>45413</v>
      </c>
      <c r="C82" s="7" t="inlineStr">
        <is>
          <t>Quetta</t>
        </is>
      </c>
      <c r="D82" s="7" t="inlineStr">
        <is>
          <t>South</t>
        </is>
      </c>
      <c r="E82" s="7" t="inlineStr">
        <is>
          <t>Travel</t>
        </is>
      </c>
      <c r="F82" s="7" t="inlineStr">
        <is>
          <t>Direct</t>
        </is>
      </c>
      <c r="G82" s="7" t="inlineStr">
        <is>
          <t>Waqar Younis Khan</t>
        </is>
      </c>
      <c r="H82" s="7" t="inlineStr">
        <is>
          <t>Corporate</t>
        </is>
      </c>
      <c r="I82" s="11" t="n">
        <v>1200000</v>
      </c>
      <c r="J82" s="11" t="n">
        <v>20700</v>
      </c>
      <c r="K82" s="11" t="n">
        <v>4341</v>
      </c>
      <c r="L82" s="11" t="n">
        <v>1</v>
      </c>
      <c r="M82" s="7" t="inlineStr">
        <is>
          <t>Active</t>
        </is>
      </c>
    </row>
    <row r="83">
      <c r="A83" s="15" t="inlineStr">
        <is>
          <t>ADM-MTR-HYD-2024-2078</t>
        </is>
      </c>
      <c r="B83" s="41" t="n">
        <v>45451</v>
      </c>
      <c r="C83" s="15" t="inlineStr">
        <is>
          <t>Hyderabad</t>
        </is>
      </c>
      <c r="D83" s="15" t="inlineStr">
        <is>
          <t>South</t>
        </is>
      </c>
      <c r="E83" s="15" t="inlineStr">
        <is>
          <t>Motor</t>
        </is>
      </c>
      <c r="F83" s="15" t="inlineStr">
        <is>
          <t>Agency</t>
        </is>
      </c>
      <c r="G83" s="15" t="inlineStr">
        <is>
          <t>Amna Zubair</t>
        </is>
      </c>
      <c r="H83" s="15" t="inlineStr">
        <is>
          <t>Corporate</t>
        </is>
      </c>
      <c r="I83" s="14" t="n">
        <v>1200000</v>
      </c>
      <c r="J83" s="14" t="n">
        <v>11300</v>
      </c>
      <c r="K83" s="14" t="n">
        <v>14476</v>
      </c>
      <c r="L83" s="14" t="n">
        <v>1</v>
      </c>
      <c r="M83" s="15" t="inlineStr">
        <is>
          <t>Renewed</t>
        </is>
      </c>
    </row>
    <row r="84">
      <c r="A84" s="7" t="inlineStr">
        <is>
          <t>ADM-HLT-SKT-2024-2079</t>
        </is>
      </c>
      <c r="B84" s="40" t="n">
        <v>45488</v>
      </c>
      <c r="C84" s="7" t="inlineStr">
        <is>
          <t>Sialkot</t>
        </is>
      </c>
      <c r="D84" s="7" t="inlineStr">
        <is>
          <t>Central</t>
        </is>
      </c>
      <c r="E84" s="7" t="inlineStr">
        <is>
          <t>Health</t>
        </is>
      </c>
      <c r="F84" s="7" t="inlineStr">
        <is>
          <t>Bancassurance</t>
        </is>
      </c>
      <c r="G84" s="7" t="inlineStr">
        <is>
          <t>Rizwan Ali Soomro</t>
        </is>
      </c>
      <c r="H84" s="7" t="inlineStr">
        <is>
          <t>Individual</t>
        </is>
      </c>
      <c r="I84" s="11" t="n">
        <v>6800000</v>
      </c>
      <c r="J84" s="11" t="n">
        <v>190700</v>
      </c>
      <c r="K84" s="11" t="n">
        <v>63087</v>
      </c>
      <c r="L84" s="11" t="n">
        <v>1</v>
      </c>
      <c r="M84" s="7" t="inlineStr">
        <is>
          <t>Lapsed</t>
        </is>
      </c>
    </row>
    <row r="85">
      <c r="A85" s="15" t="inlineStr">
        <is>
          <t>ADM-MSC-RWP-2024-2080</t>
        </is>
      </c>
      <c r="B85" s="41" t="n">
        <v>45526</v>
      </c>
      <c r="C85" s="15" t="inlineStr">
        <is>
          <t>Rawalpindi</t>
        </is>
      </c>
      <c r="D85" s="15" t="inlineStr">
        <is>
          <t>North</t>
        </is>
      </c>
      <c r="E85" s="15" t="inlineStr">
        <is>
          <t>Miscellaneous</t>
        </is>
      </c>
      <c r="F85" s="15" t="inlineStr">
        <is>
          <t>Corporate</t>
        </is>
      </c>
      <c r="G85" s="15" t="inlineStr">
        <is>
          <t>Farhan Dar</t>
        </is>
      </c>
      <c r="H85" s="15" t="inlineStr">
        <is>
          <t>Corporate</t>
        </is>
      </c>
      <c r="I85" s="14" t="n">
        <v>3400000</v>
      </c>
      <c r="J85" s="14" t="n">
        <v>48700</v>
      </c>
      <c r="K85" s="14" t="n">
        <v>21523</v>
      </c>
      <c r="L85" s="14" t="n">
        <v>1</v>
      </c>
      <c r="M85" s="15" t="inlineStr">
        <is>
          <t>Cancelled</t>
        </is>
      </c>
    </row>
    <row r="86">
      <c r="A86" s="7" t="inlineStr">
        <is>
          <t>ADM-MAR-KHI-2024-2081</t>
        </is>
      </c>
      <c r="B86" s="40" t="n">
        <v>45536</v>
      </c>
      <c r="C86" s="7" t="inlineStr">
        <is>
          <t>Karachi Main</t>
        </is>
      </c>
      <c r="D86" s="7" t="inlineStr">
        <is>
          <t>South</t>
        </is>
      </c>
      <c r="E86" s="7" t="inlineStr">
        <is>
          <t>Marine Cargo</t>
        </is>
      </c>
      <c r="F86" s="7" t="inlineStr">
        <is>
          <t>Direct</t>
        </is>
      </c>
      <c r="G86" s="7" t="inlineStr">
        <is>
          <t>Sobia Naz</t>
        </is>
      </c>
      <c r="H86" s="7" t="inlineStr">
        <is>
          <t>Corporate</t>
        </is>
      </c>
      <c r="I86" s="11" t="n">
        <v>47000000</v>
      </c>
      <c r="J86" s="11" t="n">
        <v>237300</v>
      </c>
      <c r="K86" s="11" t="n">
        <v>327198</v>
      </c>
      <c r="L86" s="11" t="n">
        <v>1</v>
      </c>
      <c r="M86" s="7" t="inlineStr">
        <is>
          <t>Active</t>
        </is>
      </c>
    </row>
    <row r="87">
      <c r="A87" s="15" t="inlineStr">
        <is>
          <t>ADM-ENG-LHR-2024-2082</t>
        </is>
      </c>
      <c r="B87" s="41" t="n">
        <v>45573</v>
      </c>
      <c r="C87" s="15" t="inlineStr">
        <is>
          <t>Lahore Gulberg</t>
        </is>
      </c>
      <c r="D87" s="15" t="inlineStr">
        <is>
          <t>Central</t>
        </is>
      </c>
      <c r="E87" s="15" t="inlineStr">
        <is>
          <t>Engineering</t>
        </is>
      </c>
      <c r="F87" s="15" t="inlineStr">
        <is>
          <t>Agency</t>
        </is>
      </c>
      <c r="G87" s="15" t="inlineStr">
        <is>
          <t>Junaid Akram</t>
        </is>
      </c>
      <c r="H87" s="15" t="inlineStr">
        <is>
          <t>Individual</t>
        </is>
      </c>
      <c r="I87" s="14" t="n">
        <v>72000000</v>
      </c>
      <c r="J87" s="14" t="n">
        <v>1764300</v>
      </c>
      <c r="K87" s="14" t="n">
        <v>1315665</v>
      </c>
      <c r="L87" s="14" t="n">
        <v>1</v>
      </c>
      <c r="M87" s="15" t="inlineStr">
        <is>
          <t>Active</t>
        </is>
      </c>
    </row>
    <row r="88">
      <c r="A88" s="7" t="inlineStr">
        <is>
          <t>ADM-FIR-ISB-2024-2083</t>
        </is>
      </c>
      <c r="B88" s="40" t="n">
        <v>45611</v>
      </c>
      <c r="C88" s="7" t="inlineStr">
        <is>
          <t>Islamabad Blue Area</t>
        </is>
      </c>
      <c r="D88" s="7" t="inlineStr">
        <is>
          <t>North</t>
        </is>
      </c>
      <c r="E88" s="7" t="inlineStr">
        <is>
          <t>Fire &amp; Property</t>
        </is>
      </c>
      <c r="F88" s="7" t="inlineStr">
        <is>
          <t>Bancassurance</t>
        </is>
      </c>
      <c r="G88" s="7" t="inlineStr">
        <is>
          <t>Hamid Raza</t>
        </is>
      </c>
      <c r="H88" s="7" t="inlineStr">
        <is>
          <t>Corporate</t>
        </is>
      </c>
      <c r="I88" s="11" t="n">
        <v>28000000</v>
      </c>
      <c r="J88" s="11" t="n">
        <v>406100</v>
      </c>
      <c r="K88" s="11" t="n">
        <v>201854</v>
      </c>
      <c r="L88" s="11" t="n">
        <v>1</v>
      </c>
      <c r="M88" s="7" t="inlineStr">
        <is>
          <t>Renewed</t>
        </is>
      </c>
    </row>
    <row r="89">
      <c r="A89" s="15" t="inlineStr">
        <is>
          <t>ADM-TRV-FSD-2024-2084</t>
        </is>
      </c>
      <c r="B89" s="41" t="n">
        <v>45648</v>
      </c>
      <c r="C89" s="15" t="inlineStr">
        <is>
          <t>Faisalabad</t>
        </is>
      </c>
      <c r="D89" s="15" t="inlineStr">
        <is>
          <t>Central</t>
        </is>
      </c>
      <c r="E89" s="15" t="inlineStr">
        <is>
          <t>Travel</t>
        </is>
      </c>
      <c r="F89" s="15" t="inlineStr">
        <is>
          <t>Corporate</t>
        </is>
      </c>
      <c r="G89" s="15" t="inlineStr">
        <is>
          <t>Nimra Saleem</t>
        </is>
      </c>
      <c r="H89" s="15" t="inlineStr">
        <is>
          <t>Corporate</t>
        </is>
      </c>
      <c r="I89" s="14" t="n">
        <v>11500000</v>
      </c>
      <c r="J89" s="14" t="n">
        <v>202500</v>
      </c>
      <c r="K89" s="14" t="n">
        <v>158654</v>
      </c>
      <c r="L89" s="14" t="n">
        <v>1</v>
      </c>
      <c r="M89" s="15" t="inlineStr">
        <is>
          <t>Lapsed</t>
        </is>
      </c>
    </row>
    <row r="90">
      <c r="A90" s="7" t="inlineStr">
        <is>
          <t>ADM-MTR-MUL-2024-2085</t>
        </is>
      </c>
      <c r="B90" s="40" t="n">
        <v>45292</v>
      </c>
      <c r="C90" s="7" t="inlineStr">
        <is>
          <t>Multan</t>
        </is>
      </c>
      <c r="D90" s="7" t="inlineStr">
        <is>
          <t>Central</t>
        </is>
      </c>
      <c r="E90" s="7" t="inlineStr">
        <is>
          <t>Motor</t>
        </is>
      </c>
      <c r="F90" s="7" t="inlineStr">
        <is>
          <t>Direct</t>
        </is>
      </c>
      <c r="G90" s="7" t="inlineStr">
        <is>
          <t>Tariq Jameel</t>
        </is>
      </c>
      <c r="H90" s="7" t="inlineStr">
        <is>
          <t>Individual</t>
        </is>
      </c>
      <c r="I90" s="11" t="n">
        <v>6800000</v>
      </c>
      <c r="J90" s="11" t="n">
        <v>36100</v>
      </c>
      <c r="K90" s="11" t="n">
        <v>50561</v>
      </c>
      <c r="L90" s="11" t="n">
        <v>1</v>
      </c>
      <c r="M90" s="7" t="inlineStr">
        <is>
          <t>Cancelled</t>
        </is>
      </c>
    </row>
    <row r="91">
      <c r="A91" s="15" t="inlineStr">
        <is>
          <t>ADM-HLT-PEW-2024-2086</t>
        </is>
      </c>
      <c r="B91" s="41" t="n">
        <v>45330</v>
      </c>
      <c r="C91" s="15" t="inlineStr">
        <is>
          <t>Peshawar</t>
        </is>
      </c>
      <c r="D91" s="15" t="inlineStr">
        <is>
          <t>North</t>
        </is>
      </c>
      <c r="E91" s="15" t="inlineStr">
        <is>
          <t>Health</t>
        </is>
      </c>
      <c r="F91" s="15" t="inlineStr">
        <is>
          <t>Agency</t>
        </is>
      </c>
      <c r="G91" s="15" t="inlineStr">
        <is>
          <t>Nadia Hassan</t>
        </is>
      </c>
      <c r="H91" s="15" t="inlineStr">
        <is>
          <t>Corporate</t>
        </is>
      </c>
      <c r="I91" s="14" t="n">
        <v>6800000</v>
      </c>
      <c r="J91" s="14" t="n">
        <v>140600</v>
      </c>
      <c r="K91" s="14" t="n">
        <v>238796</v>
      </c>
      <c r="L91" s="14" t="n">
        <v>1</v>
      </c>
      <c r="M91" s="15" t="inlineStr">
        <is>
          <t>Active</t>
        </is>
      </c>
    </row>
    <row r="92">
      <c r="A92" s="7" t="inlineStr">
        <is>
          <t>ADM-MSC-QTA-2024-2087</t>
        </is>
      </c>
      <c r="B92" s="40" t="n">
        <v>45366</v>
      </c>
      <c r="C92" s="7" t="inlineStr">
        <is>
          <t>Quetta</t>
        </is>
      </c>
      <c r="D92" s="7" t="inlineStr">
        <is>
          <t>South</t>
        </is>
      </c>
      <c r="E92" s="7" t="inlineStr">
        <is>
          <t>Miscellaneous</t>
        </is>
      </c>
      <c r="F92" s="7" t="inlineStr">
        <is>
          <t>Bancassurance</t>
        </is>
      </c>
      <c r="G92" s="7" t="inlineStr">
        <is>
          <t>Salman Shah</t>
        </is>
      </c>
      <c r="H92" s="7" t="inlineStr">
        <is>
          <t>Corporate</t>
        </is>
      </c>
      <c r="I92" s="11" t="n">
        <v>19000000</v>
      </c>
      <c r="J92" s="11" t="n">
        <v>350400</v>
      </c>
      <c r="K92" s="11" t="n">
        <v>664530</v>
      </c>
      <c r="L92" s="11" t="n">
        <v>1</v>
      </c>
      <c r="M92" s="7" t="inlineStr">
        <is>
          <t>Active</t>
        </is>
      </c>
    </row>
    <row r="93">
      <c r="A93" s="15" t="inlineStr">
        <is>
          <t>ADM-MAR-HYD-2024-2088</t>
        </is>
      </c>
      <c r="B93" s="41" t="n">
        <v>45404</v>
      </c>
      <c r="C93" s="15" t="inlineStr">
        <is>
          <t>Hyderabad</t>
        </is>
      </c>
      <c r="D93" s="15" t="inlineStr">
        <is>
          <t>South</t>
        </is>
      </c>
      <c r="E93" s="15" t="inlineStr">
        <is>
          <t>Marine Cargo</t>
        </is>
      </c>
      <c r="F93" s="15" t="inlineStr">
        <is>
          <t>Corporate</t>
        </is>
      </c>
      <c r="G93" s="15" t="inlineStr">
        <is>
          <t>Komal Bashir</t>
        </is>
      </c>
      <c r="H93" s="15" t="inlineStr">
        <is>
          <t>Individual</t>
        </is>
      </c>
      <c r="I93" s="14" t="n">
        <v>72000000</v>
      </c>
      <c r="J93" s="14" t="n">
        <v>1685500</v>
      </c>
      <c r="K93" s="14" t="n">
        <v>1657983</v>
      </c>
      <c r="L93" s="14" t="n">
        <v>1</v>
      </c>
      <c r="M93" s="15" t="inlineStr">
        <is>
          <t>Renewed</t>
        </is>
      </c>
    </row>
    <row r="94">
      <c r="A94" s="7" t="inlineStr">
        <is>
          <t>ADM-ENG-SKT-2024-2089</t>
        </is>
      </c>
      <c r="B94" s="40" t="n">
        <v>45413</v>
      </c>
      <c r="C94" s="7" t="inlineStr">
        <is>
          <t>Sialkot</t>
        </is>
      </c>
      <c r="D94" s="7" t="inlineStr">
        <is>
          <t>Central</t>
        </is>
      </c>
      <c r="E94" s="7" t="inlineStr">
        <is>
          <t>Engineering</t>
        </is>
      </c>
      <c r="F94" s="7" t="inlineStr">
        <is>
          <t>Direct</t>
        </is>
      </c>
      <c r="G94" s="7" t="inlineStr">
        <is>
          <t>Waqar Younis Khan</t>
        </is>
      </c>
      <c r="H94" s="7" t="inlineStr">
        <is>
          <t>Corporate</t>
        </is>
      </c>
      <c r="I94" s="11" t="n">
        <v>47000000</v>
      </c>
      <c r="J94" s="11" t="n">
        <v>988500</v>
      </c>
      <c r="K94" s="11" t="n">
        <v>1297814</v>
      </c>
      <c r="L94" s="11" t="n">
        <v>1</v>
      </c>
      <c r="M94" s="7" t="inlineStr">
        <is>
          <t>Lapsed</t>
        </is>
      </c>
    </row>
    <row r="95">
      <c r="A95" s="15" t="inlineStr">
        <is>
          <t>ADM-FIR-RWP-2024-2090</t>
        </is>
      </c>
      <c r="B95" s="41" t="n">
        <v>45451</v>
      </c>
      <c r="C95" s="15" t="inlineStr">
        <is>
          <t>Rawalpindi</t>
        </is>
      </c>
      <c r="D95" s="15" t="inlineStr">
        <is>
          <t>North</t>
        </is>
      </c>
      <c r="E95" s="15" t="inlineStr">
        <is>
          <t>Fire &amp; Property</t>
        </is>
      </c>
      <c r="F95" s="15" t="inlineStr">
        <is>
          <t>Agency</t>
        </is>
      </c>
      <c r="G95" s="15" t="inlineStr">
        <is>
          <t>Amna Zubair</t>
        </is>
      </c>
      <c r="H95" s="15" t="inlineStr">
        <is>
          <t>Corporate</t>
        </is>
      </c>
      <c r="I95" s="14" t="n">
        <v>19000000</v>
      </c>
      <c r="J95" s="14" t="n">
        <v>215900</v>
      </c>
      <c r="K95" s="14" t="n">
        <v>64887</v>
      </c>
      <c r="L95" s="14" t="n">
        <v>1</v>
      </c>
      <c r="M95" s="15" t="inlineStr">
        <is>
          <t>Cancelled</t>
        </is>
      </c>
    </row>
    <row r="96">
      <c r="A96" s="7" t="inlineStr">
        <is>
          <t>ADM-TRV-KHI-2024-2091</t>
        </is>
      </c>
      <c r="B96" s="40" t="n">
        <v>45488</v>
      </c>
      <c r="C96" s="7" t="inlineStr">
        <is>
          <t>Karachi Main</t>
        </is>
      </c>
      <c r="D96" s="7" t="inlineStr">
        <is>
          <t>South</t>
        </is>
      </c>
      <c r="E96" s="7" t="inlineStr">
        <is>
          <t>Travel</t>
        </is>
      </c>
      <c r="F96" s="7" t="inlineStr">
        <is>
          <t>Bancassurance</t>
        </is>
      </c>
      <c r="G96" s="7" t="inlineStr">
        <is>
          <t>Rizwan Ali Soomro</t>
        </is>
      </c>
      <c r="H96" s="7" t="inlineStr">
        <is>
          <t>Individual</t>
        </is>
      </c>
      <c r="I96" s="11" t="n">
        <v>47000000</v>
      </c>
      <c r="J96" s="11" t="n">
        <v>268400</v>
      </c>
      <c r="K96" s="11" t="n">
        <v>149803</v>
      </c>
      <c r="L96" s="11" t="n">
        <v>1</v>
      </c>
      <c r="M96" s="7" t="inlineStr">
        <is>
          <t>Active</t>
        </is>
      </c>
    </row>
    <row r="97">
      <c r="A97" s="15" t="inlineStr">
        <is>
          <t>ADM-MTR-LHR-2024-2092</t>
        </is>
      </c>
      <c r="B97" s="41" t="n">
        <v>45526</v>
      </c>
      <c r="C97" s="15" t="inlineStr">
        <is>
          <t>Lahore Gulberg</t>
        </is>
      </c>
      <c r="D97" s="15" t="inlineStr">
        <is>
          <t>Central</t>
        </is>
      </c>
      <c r="E97" s="15" t="inlineStr">
        <is>
          <t>Motor</t>
        </is>
      </c>
      <c r="F97" s="15" t="inlineStr">
        <is>
          <t>Corporate</t>
        </is>
      </c>
      <c r="G97" s="15" t="inlineStr">
        <is>
          <t>Farhan Dar</t>
        </is>
      </c>
      <c r="H97" s="15" t="inlineStr">
        <is>
          <t>Corporate</t>
        </is>
      </c>
      <c r="I97" s="14" t="n">
        <v>47000000</v>
      </c>
      <c r="J97" s="14" t="n">
        <v>1406900</v>
      </c>
      <c r="K97" s="14" t="n">
        <v>295893</v>
      </c>
      <c r="L97" s="14" t="n">
        <v>1</v>
      </c>
      <c r="M97" s="15" t="inlineStr">
        <is>
          <t>Active</t>
        </is>
      </c>
    </row>
    <row r="98">
      <c r="A98" s="7" t="inlineStr">
        <is>
          <t>ADM-HLT-ISB-2024-2093</t>
        </is>
      </c>
      <c r="B98" s="40" t="n">
        <v>45536</v>
      </c>
      <c r="C98" s="7" t="inlineStr">
        <is>
          <t>Islamabad Blue Area</t>
        </is>
      </c>
      <c r="D98" s="7" t="inlineStr">
        <is>
          <t>North</t>
        </is>
      </c>
      <c r="E98" s="7" t="inlineStr">
        <is>
          <t>Health</t>
        </is>
      </c>
      <c r="F98" s="7" t="inlineStr">
        <is>
          <t>Direct</t>
        </is>
      </c>
      <c r="G98" s="7" t="inlineStr">
        <is>
          <t>Sobia Naz</t>
        </is>
      </c>
      <c r="H98" s="7" t="inlineStr">
        <is>
          <t>Corporate</t>
        </is>
      </c>
      <c r="I98" s="11" t="n">
        <v>19000000</v>
      </c>
      <c r="J98" s="11" t="n">
        <v>321300</v>
      </c>
      <c r="K98" s="11" t="n">
        <v>26393</v>
      </c>
      <c r="L98" s="11" t="n">
        <v>1</v>
      </c>
      <c r="M98" s="7" t="inlineStr">
        <is>
          <t>Renewed</t>
        </is>
      </c>
    </row>
    <row r="99">
      <c r="A99" s="15" t="inlineStr">
        <is>
          <t>ADM-MSC-FSD-2024-2094</t>
        </is>
      </c>
      <c r="B99" s="41" t="n">
        <v>45573</v>
      </c>
      <c r="C99" s="15" t="inlineStr">
        <is>
          <t>Faisalabad</t>
        </is>
      </c>
      <c r="D99" s="15" t="inlineStr">
        <is>
          <t>Central</t>
        </is>
      </c>
      <c r="E99" s="15" t="inlineStr">
        <is>
          <t>Miscellaneous</t>
        </is>
      </c>
      <c r="F99" s="15" t="inlineStr">
        <is>
          <t>Agency</t>
        </is>
      </c>
      <c r="G99" s="15" t="inlineStr">
        <is>
          <t>Junaid Akram</t>
        </is>
      </c>
      <c r="H99" s="15" t="inlineStr">
        <is>
          <t>Individual</t>
        </is>
      </c>
      <c r="I99" s="14" t="n">
        <v>47000000</v>
      </c>
      <c r="J99" s="14" t="n">
        <v>941400</v>
      </c>
      <c r="K99" s="14" t="n">
        <v>1091541</v>
      </c>
      <c r="L99" s="14" t="n">
        <v>1</v>
      </c>
      <c r="M99" s="15" t="inlineStr">
        <is>
          <t>Lapsed</t>
        </is>
      </c>
    </row>
    <row r="100">
      <c r="A100" s="7" t="inlineStr">
        <is>
          <t>ADM-MAR-MUL-2024-2095</t>
        </is>
      </c>
      <c r="B100" s="40" t="n">
        <v>45611</v>
      </c>
      <c r="C100" s="7" t="inlineStr">
        <is>
          <t>Multan</t>
        </is>
      </c>
      <c r="D100" s="7" t="inlineStr">
        <is>
          <t>Central</t>
        </is>
      </c>
      <c r="E100" s="7" t="inlineStr">
        <is>
          <t>Marine Cargo</t>
        </is>
      </c>
      <c r="F100" s="7" t="inlineStr">
        <is>
          <t>Bancassurance</t>
        </is>
      </c>
      <c r="G100" s="7" t="inlineStr">
        <is>
          <t>Hamid Raza</t>
        </is>
      </c>
      <c r="H100" s="7" t="inlineStr">
        <is>
          <t>Corporate</t>
        </is>
      </c>
      <c r="I100" s="11" t="n">
        <v>28000000</v>
      </c>
      <c r="J100" s="11" t="n">
        <v>839200</v>
      </c>
      <c r="K100" s="11" t="n">
        <v>226378</v>
      </c>
      <c r="L100" s="11" t="n">
        <v>1</v>
      </c>
      <c r="M100" s="7" t="inlineStr">
        <is>
          <t>Cancelled</t>
        </is>
      </c>
    </row>
    <row r="101">
      <c r="A101" s="15" t="inlineStr">
        <is>
          <t>ADM-ENG-PEW-2024-2096</t>
        </is>
      </c>
      <c r="B101" s="41" t="n">
        <v>45648</v>
      </c>
      <c r="C101" s="15" t="inlineStr">
        <is>
          <t>Peshawar</t>
        </is>
      </c>
      <c r="D101" s="15" t="inlineStr">
        <is>
          <t>North</t>
        </is>
      </c>
      <c r="E101" s="15" t="inlineStr">
        <is>
          <t>Engineering</t>
        </is>
      </c>
      <c r="F101" s="15" t="inlineStr">
        <is>
          <t>Corporate</t>
        </is>
      </c>
      <c r="G101" s="15" t="inlineStr">
        <is>
          <t>Nimra Saleem</t>
        </is>
      </c>
      <c r="H101" s="15" t="inlineStr">
        <is>
          <t>Corporate</t>
        </is>
      </c>
      <c r="I101" s="14" t="n">
        <v>19000000</v>
      </c>
      <c r="J101" s="14" t="n">
        <v>542800</v>
      </c>
      <c r="K101" s="14" t="n">
        <v>248383</v>
      </c>
      <c r="L101" s="14" t="n">
        <v>1</v>
      </c>
      <c r="M101" s="15" t="inlineStr">
        <is>
          <t>Active</t>
        </is>
      </c>
    </row>
    <row r="102">
      <c r="A102" s="7" t="inlineStr">
        <is>
          <t>ADM-FIR-QTA-2024-2097</t>
        </is>
      </c>
      <c r="B102" s="40" t="n">
        <v>45292</v>
      </c>
      <c r="C102" s="7" t="inlineStr">
        <is>
          <t>Quetta</t>
        </is>
      </c>
      <c r="D102" s="7" t="inlineStr">
        <is>
          <t>South</t>
        </is>
      </c>
      <c r="E102" s="7" t="inlineStr">
        <is>
          <t>Fire &amp; Property</t>
        </is>
      </c>
      <c r="F102" s="7" t="inlineStr">
        <is>
          <t>Direct</t>
        </is>
      </c>
      <c r="G102" s="7" t="inlineStr">
        <is>
          <t>Tariq Jameel</t>
        </is>
      </c>
      <c r="H102" s="7" t="inlineStr">
        <is>
          <t>Individual</t>
        </is>
      </c>
      <c r="I102" s="11" t="n">
        <v>1200000</v>
      </c>
      <c r="J102" s="11" t="n">
        <v>16300</v>
      </c>
      <c r="K102" s="11" t="n">
        <v>28348</v>
      </c>
      <c r="L102" s="11" t="n">
        <v>1</v>
      </c>
      <c r="M102" s="7" t="inlineStr">
        <is>
          <t>Active</t>
        </is>
      </c>
    </row>
    <row r="103">
      <c r="A103" s="15" t="inlineStr">
        <is>
          <t>ADM-TRV-HYD-2024-2098</t>
        </is>
      </c>
      <c r="B103" s="41" t="n">
        <v>45330</v>
      </c>
      <c r="C103" s="15" t="inlineStr">
        <is>
          <t>Hyderabad</t>
        </is>
      </c>
      <c r="D103" s="15" t="inlineStr">
        <is>
          <t>South</t>
        </is>
      </c>
      <c r="E103" s="15" t="inlineStr">
        <is>
          <t>Travel</t>
        </is>
      </c>
      <c r="F103" s="15" t="inlineStr">
        <is>
          <t>Agency</t>
        </is>
      </c>
      <c r="G103" s="15" t="inlineStr">
        <is>
          <t>Nadia Hassan</t>
        </is>
      </c>
      <c r="H103" s="15" t="inlineStr">
        <is>
          <t>Corporate</t>
        </is>
      </c>
      <c r="I103" s="14" t="n">
        <v>28000000</v>
      </c>
      <c r="J103" s="14" t="n">
        <v>753600</v>
      </c>
      <c r="K103" s="14" t="n">
        <v>624051</v>
      </c>
      <c r="L103" s="14" t="n">
        <v>1</v>
      </c>
      <c r="M103" s="15" t="inlineStr">
        <is>
          <t>Renewed</t>
        </is>
      </c>
    </row>
    <row r="104">
      <c r="A104" s="7" t="inlineStr">
        <is>
          <t>ADM-MTR-SKT-2024-2099</t>
        </is>
      </c>
      <c r="B104" s="40" t="n">
        <v>45366</v>
      </c>
      <c r="C104" s="7" t="inlineStr">
        <is>
          <t>Sialkot</t>
        </is>
      </c>
      <c r="D104" s="7" t="inlineStr">
        <is>
          <t>Central</t>
        </is>
      </c>
      <c r="E104" s="7" t="inlineStr">
        <is>
          <t>Motor</t>
        </is>
      </c>
      <c r="F104" s="7" t="inlineStr">
        <is>
          <t>Bancassurance</t>
        </is>
      </c>
      <c r="G104" s="7" t="inlineStr">
        <is>
          <t>Salman Shah</t>
        </is>
      </c>
      <c r="H104" s="7" t="inlineStr">
        <is>
          <t>Corporate</t>
        </is>
      </c>
      <c r="I104" s="11" t="n">
        <v>28000000</v>
      </c>
      <c r="J104" s="11" t="n">
        <v>858000</v>
      </c>
      <c r="K104" s="11" t="n">
        <v>710027</v>
      </c>
      <c r="L104" s="11" t="n">
        <v>1</v>
      </c>
      <c r="M104" s="7" t="inlineStr">
        <is>
          <t>Lapsed</t>
        </is>
      </c>
    </row>
    <row r="105">
      <c r="A105" s="15" t="inlineStr">
        <is>
          <t>ADM-HLT-RWP-2024-2100</t>
        </is>
      </c>
      <c r="B105" s="41" t="n">
        <v>45404</v>
      </c>
      <c r="C105" s="15" t="inlineStr">
        <is>
          <t>Rawalpindi</t>
        </is>
      </c>
      <c r="D105" s="15" t="inlineStr">
        <is>
          <t>North</t>
        </is>
      </c>
      <c r="E105" s="15" t="inlineStr">
        <is>
          <t>Health</t>
        </is>
      </c>
      <c r="F105" s="15" t="inlineStr">
        <is>
          <t>Corporate</t>
        </is>
      </c>
      <c r="G105" s="15" t="inlineStr">
        <is>
          <t>Komal Bashir</t>
        </is>
      </c>
      <c r="H105" s="15" t="inlineStr">
        <is>
          <t>Individual</t>
        </is>
      </c>
      <c r="I105" s="14" t="n">
        <v>47000000</v>
      </c>
      <c r="J105" s="14" t="n">
        <v>701000</v>
      </c>
      <c r="K105" s="14" t="n">
        <v>1038676</v>
      </c>
      <c r="L105" s="14" t="n">
        <v>1</v>
      </c>
      <c r="M105" s="15" t="inlineStr">
        <is>
          <t>Cancelled</t>
        </is>
      </c>
    </row>
    <row r="106">
      <c r="A106" s="7" t="inlineStr">
        <is>
          <t>ADM-MSC-KHI-2024-2101</t>
        </is>
      </c>
      <c r="B106" s="40" t="n">
        <v>45413</v>
      </c>
      <c r="C106" s="7" t="inlineStr">
        <is>
          <t>Karachi Main</t>
        </is>
      </c>
      <c r="D106" s="7" t="inlineStr">
        <is>
          <t>South</t>
        </is>
      </c>
      <c r="E106" s="7" t="inlineStr">
        <is>
          <t>Miscellaneous</t>
        </is>
      </c>
      <c r="F106" s="7" t="inlineStr">
        <is>
          <t>Direct</t>
        </is>
      </c>
      <c r="G106" s="7" t="inlineStr">
        <is>
          <t>Waqar Younis Khan</t>
        </is>
      </c>
      <c r="H106" s="7" t="inlineStr">
        <is>
          <t>Corporate</t>
        </is>
      </c>
      <c r="I106" s="11" t="n">
        <v>28000000</v>
      </c>
      <c r="J106" s="11" t="n">
        <v>801300</v>
      </c>
      <c r="K106" s="11" t="n">
        <v>179274</v>
      </c>
      <c r="L106" s="11" t="n">
        <v>1</v>
      </c>
      <c r="M106" s="7" t="inlineStr">
        <is>
          <t>Active</t>
        </is>
      </c>
    </row>
    <row r="107">
      <c r="A107" s="15" t="inlineStr">
        <is>
          <t>ADM-MAR-LHR-2024-2102</t>
        </is>
      </c>
      <c r="B107" s="41" t="n">
        <v>45451</v>
      </c>
      <c r="C107" s="15" t="inlineStr">
        <is>
          <t>Lahore Gulberg</t>
        </is>
      </c>
      <c r="D107" s="15" t="inlineStr">
        <is>
          <t>Central</t>
        </is>
      </c>
      <c r="E107" s="15" t="inlineStr">
        <is>
          <t>Marine Cargo</t>
        </is>
      </c>
      <c r="F107" s="15" t="inlineStr">
        <is>
          <t>Agency</t>
        </is>
      </c>
      <c r="G107" s="15" t="inlineStr">
        <is>
          <t>Amna Zubair</t>
        </is>
      </c>
      <c r="H107" s="15" t="inlineStr">
        <is>
          <t>Corporate</t>
        </is>
      </c>
      <c r="I107" s="14" t="n">
        <v>47000000</v>
      </c>
      <c r="J107" s="14" t="n">
        <v>496500</v>
      </c>
      <c r="K107" s="14" t="n">
        <v>654105</v>
      </c>
      <c r="L107" s="14" t="n">
        <v>1</v>
      </c>
      <c r="M107" s="15" t="inlineStr">
        <is>
          <t>Active</t>
        </is>
      </c>
    </row>
    <row r="108">
      <c r="A108" s="7" t="inlineStr">
        <is>
          <t>ADM-ENG-ISB-2024-2103</t>
        </is>
      </c>
      <c r="B108" s="40" t="n">
        <v>45488</v>
      </c>
      <c r="C108" s="7" t="inlineStr">
        <is>
          <t>Islamabad Blue Area</t>
        </is>
      </c>
      <c r="D108" s="7" t="inlineStr">
        <is>
          <t>North</t>
        </is>
      </c>
      <c r="E108" s="7" t="inlineStr">
        <is>
          <t>Engineering</t>
        </is>
      </c>
      <c r="F108" s="7" t="inlineStr">
        <is>
          <t>Bancassurance</t>
        </is>
      </c>
      <c r="G108" s="7" t="inlineStr">
        <is>
          <t>Rizwan Ali Soomro</t>
        </is>
      </c>
      <c r="H108" s="7" t="inlineStr">
        <is>
          <t>Individual</t>
        </is>
      </c>
      <c r="I108" s="11" t="n">
        <v>28000000</v>
      </c>
      <c r="J108" s="11" t="n">
        <v>277500</v>
      </c>
      <c r="K108" s="11" t="n">
        <v>119888</v>
      </c>
      <c r="L108" s="11" t="n">
        <v>1</v>
      </c>
      <c r="M108" s="7" t="inlineStr">
        <is>
          <t>Renewed</t>
        </is>
      </c>
    </row>
    <row r="109">
      <c r="A109" s="15" t="inlineStr">
        <is>
          <t>ADM-FIR-FSD-2024-2104</t>
        </is>
      </c>
      <c r="B109" s="41" t="n">
        <v>45526</v>
      </c>
      <c r="C109" s="15" t="inlineStr">
        <is>
          <t>Faisalabad</t>
        </is>
      </c>
      <c r="D109" s="15" t="inlineStr">
        <is>
          <t>Central</t>
        </is>
      </c>
      <c r="E109" s="15" t="inlineStr">
        <is>
          <t>Fire &amp; Property</t>
        </is>
      </c>
      <c r="F109" s="15" t="inlineStr">
        <is>
          <t>Corporate</t>
        </is>
      </c>
      <c r="G109" s="15" t="inlineStr">
        <is>
          <t>Farhan Dar</t>
        </is>
      </c>
      <c r="H109" s="15" t="inlineStr">
        <is>
          <t>Corporate</t>
        </is>
      </c>
      <c r="I109" s="14" t="n">
        <v>28000000</v>
      </c>
      <c r="J109" s="14" t="n">
        <v>407700</v>
      </c>
      <c r="K109" s="14" t="n">
        <v>165841</v>
      </c>
      <c r="L109" s="14" t="n">
        <v>1</v>
      </c>
      <c r="M109" s="15" t="inlineStr">
        <is>
          <t>Lapsed</t>
        </is>
      </c>
    </row>
    <row r="110">
      <c r="A110" s="7" t="inlineStr">
        <is>
          <t>ADM-TRV-MUL-2024-2105</t>
        </is>
      </c>
      <c r="B110" s="40" t="n">
        <v>45536</v>
      </c>
      <c r="C110" s="7" t="inlineStr">
        <is>
          <t>Multan</t>
        </is>
      </c>
      <c r="D110" s="7" t="inlineStr">
        <is>
          <t>Central</t>
        </is>
      </c>
      <c r="E110" s="7" t="inlineStr">
        <is>
          <t>Travel</t>
        </is>
      </c>
      <c r="F110" s="7" t="inlineStr">
        <is>
          <t>Direct</t>
        </is>
      </c>
      <c r="G110" s="7" t="inlineStr">
        <is>
          <t>Sobia Naz</t>
        </is>
      </c>
      <c r="H110" s="7" t="inlineStr">
        <is>
          <t>Corporate</t>
        </is>
      </c>
      <c r="I110" s="11" t="n">
        <v>6800000</v>
      </c>
      <c r="J110" s="11" t="n">
        <v>165000</v>
      </c>
      <c r="K110" s="11" t="n">
        <v>287159</v>
      </c>
      <c r="L110" s="11" t="n">
        <v>1</v>
      </c>
      <c r="M110" s="7" t="inlineStr">
        <is>
          <t>Cancelled</t>
        </is>
      </c>
    </row>
    <row r="111">
      <c r="A111" s="15" t="inlineStr">
        <is>
          <t>ADM-MTR-PEW-2024-2106</t>
        </is>
      </c>
      <c r="B111" s="41" t="n">
        <v>45573</v>
      </c>
      <c r="C111" s="15" t="inlineStr">
        <is>
          <t>Peshawar</t>
        </is>
      </c>
      <c r="D111" s="15" t="inlineStr">
        <is>
          <t>North</t>
        </is>
      </c>
      <c r="E111" s="15" t="inlineStr">
        <is>
          <t>Motor</t>
        </is>
      </c>
      <c r="F111" s="15" t="inlineStr">
        <is>
          <t>Agency</t>
        </is>
      </c>
      <c r="G111" s="15" t="inlineStr">
        <is>
          <t>Junaid Akram</t>
        </is>
      </c>
      <c r="H111" s="15" t="inlineStr">
        <is>
          <t>Individual</t>
        </is>
      </c>
      <c r="I111" s="14" t="n">
        <v>11500000</v>
      </c>
      <c r="J111" s="14" t="n">
        <v>164500</v>
      </c>
      <c r="K111" s="14" t="n">
        <v>116615</v>
      </c>
      <c r="L111" s="14" t="n">
        <v>1</v>
      </c>
      <c r="M111" s="15" t="inlineStr">
        <is>
          <t>Active</t>
        </is>
      </c>
    </row>
    <row r="112">
      <c r="A112" s="7" t="inlineStr">
        <is>
          <t>ADM-HLT-QTA-2024-2107</t>
        </is>
      </c>
      <c r="B112" s="40" t="n">
        <v>45611</v>
      </c>
      <c r="C112" s="7" t="inlineStr">
        <is>
          <t>Quetta</t>
        </is>
      </c>
      <c r="D112" s="7" t="inlineStr">
        <is>
          <t>South</t>
        </is>
      </c>
      <c r="E112" s="7" t="inlineStr">
        <is>
          <t>Health</t>
        </is>
      </c>
      <c r="F112" s="7" t="inlineStr">
        <is>
          <t>Bancassurance</t>
        </is>
      </c>
      <c r="G112" s="7" t="inlineStr">
        <is>
          <t>Hamid Raza</t>
        </is>
      </c>
      <c r="H112" s="7" t="inlineStr">
        <is>
          <t>Corporate</t>
        </is>
      </c>
      <c r="I112" s="11" t="n">
        <v>1200000</v>
      </c>
      <c r="J112" s="11" t="n">
        <v>20400</v>
      </c>
      <c r="K112" s="11" t="n">
        <v>38497</v>
      </c>
      <c r="L112" s="11" t="n">
        <v>1</v>
      </c>
      <c r="M112" s="7" t="inlineStr">
        <is>
          <t>Active</t>
        </is>
      </c>
    </row>
    <row r="113">
      <c r="A113" s="15" t="inlineStr">
        <is>
          <t>ADM-MSC-HYD-2024-2108</t>
        </is>
      </c>
      <c r="B113" s="41" t="n">
        <v>45648</v>
      </c>
      <c r="C113" s="15" t="inlineStr">
        <is>
          <t>Hyderabad</t>
        </is>
      </c>
      <c r="D113" s="15" t="inlineStr">
        <is>
          <t>South</t>
        </is>
      </c>
      <c r="E113" s="15" t="inlineStr">
        <is>
          <t>Miscellaneous</t>
        </is>
      </c>
      <c r="F113" s="15" t="inlineStr">
        <is>
          <t>Corporate</t>
        </is>
      </c>
      <c r="G113" s="15" t="inlineStr">
        <is>
          <t>Nimra Saleem</t>
        </is>
      </c>
      <c r="H113" s="15" t="inlineStr">
        <is>
          <t>Corporate</t>
        </is>
      </c>
      <c r="I113" s="14" t="n">
        <v>28000000</v>
      </c>
      <c r="J113" s="14" t="n">
        <v>283000</v>
      </c>
      <c r="K113" s="14" t="n">
        <v>228763</v>
      </c>
      <c r="L113" s="14" t="n">
        <v>1</v>
      </c>
      <c r="M113" s="15" t="inlineStr">
        <is>
          <t>Renewed</t>
        </is>
      </c>
    </row>
    <row r="114">
      <c r="A114" s="7" t="inlineStr">
        <is>
          <t>ADM-MAR-SKT-2024-2109</t>
        </is>
      </c>
      <c r="B114" s="40" t="n">
        <v>45292</v>
      </c>
      <c r="C114" s="7" t="inlineStr">
        <is>
          <t>Sialkot</t>
        </is>
      </c>
      <c r="D114" s="7" t="inlineStr">
        <is>
          <t>Central</t>
        </is>
      </c>
      <c r="E114" s="7" t="inlineStr">
        <is>
          <t>Marine Cargo</t>
        </is>
      </c>
      <c r="F114" s="7" t="inlineStr">
        <is>
          <t>Direct</t>
        </is>
      </c>
      <c r="G114" s="7" t="inlineStr">
        <is>
          <t>Tariq Jameel</t>
        </is>
      </c>
      <c r="H114" s="7" t="inlineStr">
        <is>
          <t>Individual</t>
        </is>
      </c>
      <c r="I114" s="11" t="n">
        <v>28000000</v>
      </c>
      <c r="J114" s="11" t="n">
        <v>167600</v>
      </c>
      <c r="K114" s="11" t="n">
        <v>156514</v>
      </c>
      <c r="L114" s="11" t="n">
        <v>1</v>
      </c>
      <c r="M114" s="7" t="inlineStr">
        <is>
          <t>Lapsed</t>
        </is>
      </c>
    </row>
    <row r="115">
      <c r="A115" s="15" t="inlineStr">
        <is>
          <t>ADM-ENG-RWP-2024-2110</t>
        </is>
      </c>
      <c r="B115" s="41" t="n">
        <v>45330</v>
      </c>
      <c r="C115" s="15" t="inlineStr">
        <is>
          <t>Rawalpindi</t>
        </is>
      </c>
      <c r="D115" s="15" t="inlineStr">
        <is>
          <t>North</t>
        </is>
      </c>
      <c r="E115" s="15" t="inlineStr">
        <is>
          <t>Engineering</t>
        </is>
      </c>
      <c r="F115" s="15" t="inlineStr">
        <is>
          <t>Agency</t>
        </is>
      </c>
      <c r="G115" s="15" t="inlineStr">
        <is>
          <t>Nadia Hassan</t>
        </is>
      </c>
      <c r="H115" s="15" t="inlineStr">
        <is>
          <t>Corporate</t>
        </is>
      </c>
      <c r="I115" s="14" t="n">
        <v>72000000</v>
      </c>
      <c r="J115" s="14" t="n">
        <v>1093900</v>
      </c>
      <c r="K115" s="14" t="n">
        <v>310278</v>
      </c>
      <c r="L115" s="14" t="n">
        <v>1</v>
      </c>
      <c r="M115" s="15" t="inlineStr">
        <is>
          <t>Cancelled</t>
        </is>
      </c>
    </row>
    <row r="116">
      <c r="A116" s="7" t="inlineStr">
        <is>
          <t>ADM-FIR-KHI-2024-2111</t>
        </is>
      </c>
      <c r="B116" s="40" t="n">
        <v>45366</v>
      </c>
      <c r="C116" s="7" t="inlineStr">
        <is>
          <t>Karachi Main</t>
        </is>
      </c>
      <c r="D116" s="7" t="inlineStr">
        <is>
          <t>South</t>
        </is>
      </c>
      <c r="E116" s="7" t="inlineStr">
        <is>
          <t>Fire &amp; Property</t>
        </is>
      </c>
      <c r="F116" s="7" t="inlineStr">
        <is>
          <t>Bancassurance</t>
        </is>
      </c>
      <c r="G116" s="7" t="inlineStr">
        <is>
          <t>Salman Shah</t>
        </is>
      </c>
      <c r="H116" s="7" t="inlineStr">
        <is>
          <t>Corporate</t>
        </is>
      </c>
      <c r="I116" s="11" t="n">
        <v>11500000</v>
      </c>
      <c r="J116" s="11" t="n">
        <v>355200</v>
      </c>
      <c r="K116" s="11" t="n">
        <v>7123</v>
      </c>
      <c r="L116" s="11" t="n">
        <v>1</v>
      </c>
      <c r="M116" s="7" t="inlineStr">
        <is>
          <t>Active</t>
        </is>
      </c>
    </row>
    <row r="117">
      <c r="A117" s="15" t="inlineStr">
        <is>
          <t>ADM-TRV-LHR-2024-2112</t>
        </is>
      </c>
      <c r="B117" s="41" t="n">
        <v>45404</v>
      </c>
      <c r="C117" s="15" t="inlineStr">
        <is>
          <t>Lahore Gulberg</t>
        </is>
      </c>
      <c r="D117" s="15" t="inlineStr">
        <is>
          <t>Central</t>
        </is>
      </c>
      <c r="E117" s="15" t="inlineStr">
        <is>
          <t>Travel</t>
        </is>
      </c>
      <c r="F117" s="15" t="inlineStr">
        <is>
          <t>Corporate</t>
        </is>
      </c>
      <c r="G117" s="15" t="inlineStr">
        <is>
          <t>Komal Bashir</t>
        </is>
      </c>
      <c r="H117" s="15" t="inlineStr">
        <is>
          <t>Individual</t>
        </is>
      </c>
      <c r="I117" s="14" t="n">
        <v>28000000</v>
      </c>
      <c r="J117" s="14" t="n">
        <v>555900</v>
      </c>
      <c r="K117" s="14" t="n">
        <v>328413</v>
      </c>
      <c r="L117" s="14" t="n">
        <v>1</v>
      </c>
      <c r="M117" s="15" t="inlineStr">
        <is>
          <t>Active</t>
        </is>
      </c>
    </row>
    <row r="118">
      <c r="A118" s="7" t="inlineStr">
        <is>
          <t>ADM-MTR-ISB-2024-2113</t>
        </is>
      </c>
      <c r="B118" s="40" t="n">
        <v>45413</v>
      </c>
      <c r="C118" s="7" t="inlineStr">
        <is>
          <t>Islamabad Blue Area</t>
        </is>
      </c>
      <c r="D118" s="7" t="inlineStr">
        <is>
          <t>North</t>
        </is>
      </c>
      <c r="E118" s="7" t="inlineStr">
        <is>
          <t>Motor</t>
        </is>
      </c>
      <c r="F118" s="7" t="inlineStr">
        <is>
          <t>Direct</t>
        </is>
      </c>
      <c r="G118" s="7" t="inlineStr">
        <is>
          <t>Waqar Younis Khan</t>
        </is>
      </c>
      <c r="H118" s="7" t="inlineStr">
        <is>
          <t>Corporate</t>
        </is>
      </c>
      <c r="I118" s="11" t="n">
        <v>28000000</v>
      </c>
      <c r="J118" s="11" t="n">
        <v>770600</v>
      </c>
      <c r="K118" s="11" t="n">
        <v>429829</v>
      </c>
      <c r="L118" s="11" t="n">
        <v>1</v>
      </c>
      <c r="M118" s="7" t="inlineStr">
        <is>
          <t>Renewed</t>
        </is>
      </c>
    </row>
    <row r="119">
      <c r="A119" s="15" t="inlineStr">
        <is>
          <t>ADM-HLT-FSD-2024-2114</t>
        </is>
      </c>
      <c r="B119" s="41" t="n">
        <v>45451</v>
      </c>
      <c r="C119" s="15" t="inlineStr">
        <is>
          <t>Faisalabad</t>
        </is>
      </c>
      <c r="D119" s="15" t="inlineStr">
        <is>
          <t>Central</t>
        </is>
      </c>
      <c r="E119" s="15" t="inlineStr">
        <is>
          <t>Health</t>
        </is>
      </c>
      <c r="F119" s="15" t="inlineStr">
        <is>
          <t>Agency</t>
        </is>
      </c>
      <c r="G119" s="15" t="inlineStr">
        <is>
          <t>Amna Zubair</t>
        </is>
      </c>
      <c r="H119" s="15" t="inlineStr">
        <is>
          <t>Corporate</t>
        </is>
      </c>
      <c r="I119" s="14" t="n">
        <v>19000000</v>
      </c>
      <c r="J119" s="14" t="n">
        <v>179600</v>
      </c>
      <c r="K119" s="14" t="n">
        <v>109197</v>
      </c>
      <c r="L119" s="14" t="n">
        <v>1</v>
      </c>
      <c r="M119" s="15" t="inlineStr">
        <is>
          <t>Lapsed</t>
        </is>
      </c>
    </row>
    <row r="120">
      <c r="A120" s="7" t="inlineStr">
        <is>
          <t>ADM-MSC-MUL-2024-2115</t>
        </is>
      </c>
      <c r="B120" s="40" t="n">
        <v>45488</v>
      </c>
      <c r="C120" s="7" t="inlineStr">
        <is>
          <t>Multan</t>
        </is>
      </c>
      <c r="D120" s="7" t="inlineStr">
        <is>
          <t>Central</t>
        </is>
      </c>
      <c r="E120" s="7" t="inlineStr">
        <is>
          <t>Miscellaneous</t>
        </is>
      </c>
      <c r="F120" s="7" t="inlineStr">
        <is>
          <t>Bancassurance</t>
        </is>
      </c>
      <c r="G120" s="7" t="inlineStr">
        <is>
          <t>Rizwan Ali Soomro</t>
        </is>
      </c>
      <c r="H120" s="7" t="inlineStr">
        <is>
          <t>Individual</t>
        </is>
      </c>
      <c r="I120" s="11" t="n">
        <v>11500000</v>
      </c>
      <c r="J120" s="11" t="n">
        <v>268100</v>
      </c>
      <c r="K120" s="11" t="n">
        <v>402308</v>
      </c>
      <c r="L120" s="11" t="n">
        <v>1</v>
      </c>
      <c r="M120" s="7" t="inlineStr">
        <is>
          <t>Cancelled</t>
        </is>
      </c>
    </row>
    <row r="121">
      <c r="A121" s="15" t="inlineStr">
        <is>
          <t>ADM-MAR-PEW-2024-2116</t>
        </is>
      </c>
      <c r="B121" s="41" t="n">
        <v>45526</v>
      </c>
      <c r="C121" s="15" t="inlineStr">
        <is>
          <t>Peshawar</t>
        </is>
      </c>
      <c r="D121" s="15" t="inlineStr">
        <is>
          <t>North</t>
        </is>
      </c>
      <c r="E121" s="15" t="inlineStr">
        <is>
          <t>Marine Cargo</t>
        </is>
      </c>
      <c r="F121" s="15" t="inlineStr">
        <is>
          <t>Corporate</t>
        </is>
      </c>
      <c r="G121" s="15" t="inlineStr">
        <is>
          <t>Farhan Dar</t>
        </is>
      </c>
      <c r="H121" s="15" t="inlineStr">
        <is>
          <t>Corporate</t>
        </is>
      </c>
      <c r="I121" s="14" t="n">
        <v>6800000</v>
      </c>
      <c r="J121" s="14" t="n">
        <v>192200</v>
      </c>
      <c r="K121" s="14" t="n">
        <v>237922</v>
      </c>
      <c r="L121" s="14" t="n">
        <v>1</v>
      </c>
      <c r="M121" s="15" t="inlineStr">
        <is>
          <t>Active</t>
        </is>
      </c>
    </row>
    <row r="122">
      <c r="A122" s="7" t="inlineStr">
        <is>
          <t>ADM-ENG-QTA-2024-2117</t>
        </is>
      </c>
      <c r="B122" s="40" t="n">
        <v>45536</v>
      </c>
      <c r="C122" s="7" t="inlineStr">
        <is>
          <t>Quetta</t>
        </is>
      </c>
      <c r="D122" s="7" t="inlineStr">
        <is>
          <t>South</t>
        </is>
      </c>
      <c r="E122" s="7" t="inlineStr">
        <is>
          <t>Engineering</t>
        </is>
      </c>
      <c r="F122" s="7" t="inlineStr">
        <is>
          <t>Direct</t>
        </is>
      </c>
      <c r="G122" s="7" t="inlineStr">
        <is>
          <t>Sobia Naz</t>
        </is>
      </c>
      <c r="H122" s="7" t="inlineStr">
        <is>
          <t>Corporate</t>
        </is>
      </c>
      <c r="I122" s="11" t="n">
        <v>1200000</v>
      </c>
      <c r="J122" s="11" t="n">
        <v>8500</v>
      </c>
      <c r="K122" s="11" t="n">
        <v>1655</v>
      </c>
      <c r="L122" s="11" t="n">
        <v>1</v>
      </c>
      <c r="M122" s="7" t="inlineStr">
        <is>
          <t>Active</t>
        </is>
      </c>
    </row>
    <row r="123">
      <c r="A123" s="15" t="inlineStr">
        <is>
          <t>ADM-FIR-HYD-2024-2118</t>
        </is>
      </c>
      <c r="B123" s="41" t="n">
        <v>45573</v>
      </c>
      <c r="C123" s="15" t="inlineStr">
        <is>
          <t>Hyderabad</t>
        </is>
      </c>
      <c r="D123" s="15" t="inlineStr">
        <is>
          <t>South</t>
        </is>
      </c>
      <c r="E123" s="15" t="inlineStr">
        <is>
          <t>Fire &amp; Property</t>
        </is>
      </c>
      <c r="F123" s="15" t="inlineStr">
        <is>
          <t>Agency</t>
        </is>
      </c>
      <c r="G123" s="15" t="inlineStr">
        <is>
          <t>Junaid Akram</t>
        </is>
      </c>
      <c r="H123" s="15" t="inlineStr">
        <is>
          <t>Individual</t>
        </is>
      </c>
      <c r="I123" s="14" t="n">
        <v>3400000</v>
      </c>
      <c r="J123" s="14" t="n">
        <v>49100</v>
      </c>
      <c r="K123" s="14" t="n">
        <v>31206</v>
      </c>
      <c r="L123" s="14" t="n">
        <v>1</v>
      </c>
      <c r="M123" s="15" t="inlineStr">
        <is>
          <t>Renewed</t>
        </is>
      </c>
    </row>
    <row r="124">
      <c r="A124" s="7" t="inlineStr">
        <is>
          <t>ADM-TRV-SKT-2024-2119</t>
        </is>
      </c>
      <c r="B124" s="40" t="n">
        <v>45611</v>
      </c>
      <c r="C124" s="7" t="inlineStr">
        <is>
          <t>Sialkot</t>
        </is>
      </c>
      <c r="D124" s="7" t="inlineStr">
        <is>
          <t>Central</t>
        </is>
      </c>
      <c r="E124" s="7" t="inlineStr">
        <is>
          <t>Travel</t>
        </is>
      </c>
      <c r="F124" s="7" t="inlineStr">
        <is>
          <t>Bancassurance</t>
        </is>
      </c>
      <c r="G124" s="7" t="inlineStr">
        <is>
          <t>Hamid Raza</t>
        </is>
      </c>
      <c r="H124" s="7" t="inlineStr">
        <is>
          <t>Corporate</t>
        </is>
      </c>
      <c r="I124" s="11" t="n">
        <v>72000000</v>
      </c>
      <c r="J124" s="11" t="n">
        <v>586400</v>
      </c>
      <c r="K124" s="11" t="n">
        <v>404374</v>
      </c>
      <c r="L124" s="11" t="n">
        <v>1</v>
      </c>
      <c r="M124" s="7" t="inlineStr">
        <is>
          <t>Lapsed</t>
        </is>
      </c>
    </row>
    <row r="125">
      <c r="A125" s="15" t="inlineStr">
        <is>
          <t>ADM-MTR-RWP-2024-2120</t>
        </is>
      </c>
      <c r="B125" s="41" t="n">
        <v>45648</v>
      </c>
      <c r="C125" s="15" t="inlineStr">
        <is>
          <t>Rawalpindi</t>
        </is>
      </c>
      <c r="D125" s="15" t="inlineStr">
        <is>
          <t>North</t>
        </is>
      </c>
      <c r="E125" s="15" t="inlineStr">
        <is>
          <t>Motor</t>
        </is>
      </c>
      <c r="F125" s="15" t="inlineStr">
        <is>
          <t>Corporate</t>
        </is>
      </c>
      <c r="G125" s="15" t="inlineStr">
        <is>
          <t>Nimra Saleem</t>
        </is>
      </c>
      <c r="H125" s="15" t="inlineStr">
        <is>
          <t>Corporate</t>
        </is>
      </c>
      <c r="I125" s="14" t="n">
        <v>6800000</v>
      </c>
      <c r="J125" s="14" t="n">
        <v>111000</v>
      </c>
      <c r="K125" s="14" t="n">
        <v>91930</v>
      </c>
      <c r="L125" s="14" t="n">
        <v>1</v>
      </c>
      <c r="M125" s="15" t="inlineStr">
        <is>
          <t>Cancelled</t>
        </is>
      </c>
    </row>
    <row r="127">
      <c r="A127"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7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Share-of-Book report for the Regional Heads</t>
        </is>
      </c>
    </row>
    <row r="3">
      <c r="A3" s="21" t="inlineStr">
        <is>
          <t>Prepared for:</t>
        </is>
      </c>
      <c r="B3" s="22" t="inlineStr">
        <is>
          <t>Regional Head — North</t>
        </is>
      </c>
    </row>
    <row r="4">
      <c r="A4" s="21" t="inlineStr">
        <is>
          <t>Prepared by:</t>
        </is>
      </c>
      <c r="B4" s="23" t="n"/>
    </row>
    <row r="5">
      <c r="A5" s="21" t="inlineStr">
        <is>
          <t>Reporting date:</t>
        </is>
      </c>
      <c r="B5" s="22" t="inlineStr">
        <is>
          <t>As at reporting date shown on the dataset</t>
        </is>
      </c>
    </row>
    <row r="7" ht="44" customHeight="1">
      <c r="A7" s="24" t="inlineStr">
        <is>
          <t>The pack is entirely in rupees and the Regional Head's standing complaint is that he cannot tell who is growing and who is merely large. Percentages are currently added in cells beside the pivot and break whenever the pivot is filtered.</t>
        </is>
      </c>
    </row>
    <row r="9">
      <c r="A9" s="25" t="inlineStr">
        <is>
          <t>Source data: '3.3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Share-of-Book report for the Regional Heads</t>
        </is>
      </c>
      <c r="C13" s="38" t="inlineStr">
        <is>
          <t>A pivot with Region and Branch nested on rows showing: Gross Premium in rupees, as a per cent of the grand total, and as a per cent of the parent region. All three from the same pivot, with the value headings renamed into business language.</t>
        </is>
      </c>
      <c r="D13" s="37" t="inlineStr">
        <is>
          <t>Regional Head — North</t>
        </is>
      </c>
      <c r="E13" s="31" t="n"/>
    </row>
    <row r="14" ht="52" customHeight="1">
      <c r="A14" s="35" t="n">
        <v>2</v>
      </c>
      <c r="B14" s="36" t="inlineStr">
        <is>
          <t>Cumulative Premium Position for the seasonality discussion</t>
        </is>
      </c>
      <c r="C14" s="38" t="inlineStr">
        <is>
          <t>A monthly pivot showing premium, running total across the year, and running total as a per cent of the annual book, so the half-way month is immediately visible.</t>
        </is>
      </c>
      <c r="D14" s="37" t="inlineStr">
        <is>
          <t>Chief Financial Officer</t>
        </is>
      </c>
      <c r="E14" s="31" t="n"/>
    </row>
    <row r="15" ht="52" customHeight="1">
      <c r="A15" s="35" t="n">
        <v>3</v>
      </c>
      <c r="B15" s="36" t="inlineStr">
        <is>
          <t>Month-on-Month Movement pack</t>
        </is>
      </c>
      <c r="C15" s="38" t="inlineStr">
        <is>
          <t>A pivot showing premium by month with Difference From previous month in rupees and as a percentage, for the whole company and expandable to branch level.</t>
        </is>
      </c>
      <c r="D15" s="37" t="inlineStr">
        <is>
          <t>Head of Management Reporting</t>
        </is>
      </c>
      <c r="E15" s="31" t="n"/>
    </row>
    <row r="16" ht="52" customHeight="1">
      <c r="A16" s="35" t="n">
        <v>4</v>
      </c>
      <c r="B16" s="36" t="inlineStr">
        <is>
          <t>Branch ranking and product benchmarking</t>
        </is>
      </c>
      <c r="C16" s="38" t="inlineStr">
        <is>
          <t>Two views: branches ranked largest to smallest by premium inside the pivot, and each product's premium expressed as a difference from the Motor line.</t>
        </is>
      </c>
      <c r="D16" s="37" t="inlineStr">
        <is>
          <t>Chief Underwriting Officer</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72.xml><?xml version="1.0" encoding="utf-8"?>
<worksheet xmlns="http://schemas.openxmlformats.org/spreadsheetml/2006/main">
  <sheetPr>
    <tabColor rgb="001F3864"/>
    <outlinePr summaryBelow="1" summaryRight="1"/>
    <pageSetUpPr/>
  </sheetPr>
  <dimension ref="A1:M127"/>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20" customWidth="1" min="3" max="3"/>
    <col width="11" customWidth="1" min="4" max="4"/>
    <col width="17" customWidth="1" min="5" max="5"/>
    <col width="16" customWidth="1" min="6" max="6"/>
    <col width="20" customWidth="1" min="7" max="7"/>
    <col width="13" customWidth="1" min="8" max="8"/>
    <col width="19" customWidth="1" min="9" max="9"/>
    <col width="20" customWidth="1" min="10" max="10"/>
    <col width="19" customWidth="1" min="11" max="11"/>
    <col width="13" customWidth="1" min="12" max="12"/>
    <col width="14" customWidth="1" min="13" max="13"/>
  </cols>
  <sheetData>
    <row r="1" ht="26" customHeight="1">
      <c r="A1" s="1" t="inlineStr">
        <is>
          <t>Dataset 3.4  —  Slicers and Timelines Connected to Multiple Pivot Tables</t>
        </is>
      </c>
    </row>
    <row r="2" ht="16" customHeight="1">
      <c r="A2" s="2" t="inlineStr">
        <is>
          <t>Session 3: Advanced Pivot Tables, Power Query &amp; What-If Analysis | Part A: Advanced Pivot Tables   |   Adamjee Assurance Company Limited (Pakistan) — training data, figures in PKR</t>
        </is>
      </c>
    </row>
    <row r="4">
      <c r="A4" s="9" t="inlineStr">
        <is>
          <t>Table A — Policy transaction register 2024 (120 rows — the pivot source)</t>
        </is>
      </c>
    </row>
    <row r="5" ht="30" customHeight="1">
      <c r="A5" s="10" t="inlineStr">
        <is>
          <t>Policy No</t>
        </is>
      </c>
      <c r="B5" s="10" t="inlineStr">
        <is>
          <t>Booking Date</t>
        </is>
      </c>
      <c r="C5" s="10" t="inlineStr">
        <is>
          <t>Branch</t>
        </is>
      </c>
      <c r="D5" s="10" t="inlineStr">
        <is>
          <t>Region</t>
        </is>
      </c>
      <c r="E5" s="10" t="inlineStr">
        <is>
          <t>Product</t>
        </is>
      </c>
      <c r="F5" s="10" t="inlineStr">
        <is>
          <t>Channel</t>
        </is>
      </c>
      <c r="G5" s="10" t="inlineStr">
        <is>
          <t>Agent Name</t>
        </is>
      </c>
      <c r="H5" s="10" t="inlineStr">
        <is>
          <t>Client Type</t>
        </is>
      </c>
      <c r="I5" s="10" t="inlineStr">
        <is>
          <t>Sum Insured (PKR)</t>
        </is>
      </c>
      <c r="J5" s="10" t="inlineStr">
        <is>
          <t>Gross Premium (PKR)</t>
        </is>
      </c>
      <c r="K5" s="10" t="inlineStr">
        <is>
          <t>Claims Paid (PKR)</t>
        </is>
      </c>
      <c r="L5" s="10" t="inlineStr">
        <is>
          <t>Policy Count</t>
        </is>
      </c>
      <c r="M5" s="10" t="inlineStr">
        <is>
          <t>Policy Status</t>
        </is>
      </c>
    </row>
    <row r="6">
      <c r="A6" s="7" t="inlineStr">
        <is>
          <t>ADM-MTR-KHI-2024-2001</t>
        </is>
      </c>
      <c r="B6" s="40" t="n">
        <v>45292</v>
      </c>
      <c r="C6" s="7" t="inlineStr">
        <is>
          <t>Karachi Main</t>
        </is>
      </c>
      <c r="D6" s="7" t="inlineStr">
        <is>
          <t>South</t>
        </is>
      </c>
      <c r="E6" s="7" t="inlineStr">
        <is>
          <t>Motor</t>
        </is>
      </c>
      <c r="F6" s="7" t="inlineStr">
        <is>
          <t>Direct</t>
        </is>
      </c>
      <c r="G6" s="7" t="inlineStr">
        <is>
          <t>Tariq Jameel</t>
        </is>
      </c>
      <c r="H6" s="7" t="inlineStr">
        <is>
          <t>Individual</t>
        </is>
      </c>
      <c r="I6" s="11" t="n">
        <v>3400000</v>
      </c>
      <c r="J6" s="11" t="n">
        <v>33200</v>
      </c>
      <c r="K6" s="11" t="n">
        <v>52907</v>
      </c>
      <c r="L6" s="11" t="n">
        <v>1</v>
      </c>
      <c r="M6" s="7" t="inlineStr">
        <is>
          <t>Active</t>
        </is>
      </c>
    </row>
    <row r="7">
      <c r="A7" s="15" t="inlineStr">
        <is>
          <t>ADM-HLT-LHR-2024-2002</t>
        </is>
      </c>
      <c r="B7" s="41" t="n">
        <v>45330</v>
      </c>
      <c r="C7" s="15" t="inlineStr">
        <is>
          <t>Lahore Gulberg</t>
        </is>
      </c>
      <c r="D7" s="15" t="inlineStr">
        <is>
          <t>Central</t>
        </is>
      </c>
      <c r="E7" s="15" t="inlineStr">
        <is>
          <t>Health</t>
        </is>
      </c>
      <c r="F7" s="15" t="inlineStr">
        <is>
          <t>Agency</t>
        </is>
      </c>
      <c r="G7" s="15" t="inlineStr">
        <is>
          <t>Nadia Hassan</t>
        </is>
      </c>
      <c r="H7" s="15" t="inlineStr">
        <is>
          <t>Corporate</t>
        </is>
      </c>
      <c r="I7" s="14" t="n">
        <v>1200000</v>
      </c>
      <c r="J7" s="14" t="n">
        <v>15300</v>
      </c>
      <c r="K7" s="14" t="n">
        <v>3207</v>
      </c>
      <c r="L7" s="14" t="n">
        <v>1</v>
      </c>
      <c r="M7" s="15" t="inlineStr">
        <is>
          <t>Active</t>
        </is>
      </c>
    </row>
    <row r="8">
      <c r="A8" s="7" t="inlineStr">
        <is>
          <t>ADM-MSC-ISB-2024-2003</t>
        </is>
      </c>
      <c r="B8" s="40" t="n">
        <v>45366</v>
      </c>
      <c r="C8" s="7" t="inlineStr">
        <is>
          <t>Islamabad Blue Area</t>
        </is>
      </c>
      <c r="D8" s="7" t="inlineStr">
        <is>
          <t>North</t>
        </is>
      </c>
      <c r="E8" s="7" t="inlineStr">
        <is>
          <t>Miscellaneous</t>
        </is>
      </c>
      <c r="F8" s="7" t="inlineStr">
        <is>
          <t>Bancassurance</t>
        </is>
      </c>
      <c r="G8" s="7" t="inlineStr">
        <is>
          <t>Salman Shah</t>
        </is>
      </c>
      <c r="H8" s="7" t="inlineStr">
        <is>
          <t>Corporate</t>
        </is>
      </c>
      <c r="I8" s="11" t="n">
        <v>11500000</v>
      </c>
      <c r="J8" s="11" t="n">
        <v>206100</v>
      </c>
      <c r="K8" s="11" t="n">
        <v>260673</v>
      </c>
      <c r="L8" s="11" t="n">
        <v>1</v>
      </c>
      <c r="M8" s="7" t="inlineStr">
        <is>
          <t>Renewed</t>
        </is>
      </c>
    </row>
    <row r="9">
      <c r="A9" s="15" t="inlineStr">
        <is>
          <t>ADM-MAR-FSD-2024-2004</t>
        </is>
      </c>
      <c r="B9" s="41" t="n">
        <v>45404</v>
      </c>
      <c r="C9" s="15" t="inlineStr">
        <is>
          <t>Faisalabad</t>
        </is>
      </c>
      <c r="D9" s="15" t="inlineStr">
        <is>
          <t>Central</t>
        </is>
      </c>
      <c r="E9" s="15" t="inlineStr">
        <is>
          <t>Marine Cargo</t>
        </is>
      </c>
      <c r="F9" s="15" t="inlineStr">
        <is>
          <t>Corporate</t>
        </is>
      </c>
      <c r="G9" s="15" t="inlineStr">
        <is>
          <t>Komal Bashir</t>
        </is>
      </c>
      <c r="H9" s="15" t="inlineStr">
        <is>
          <t>Individual</t>
        </is>
      </c>
      <c r="I9" s="14" t="n">
        <v>47000000</v>
      </c>
      <c r="J9" s="14" t="n">
        <v>1335500</v>
      </c>
      <c r="K9" s="14" t="n">
        <v>125902</v>
      </c>
      <c r="L9" s="14" t="n">
        <v>1</v>
      </c>
      <c r="M9" s="15" t="inlineStr">
        <is>
          <t>Lapsed</t>
        </is>
      </c>
    </row>
    <row r="10">
      <c r="A10" s="7" t="inlineStr">
        <is>
          <t>ADM-ENG-MUL-2024-2005</t>
        </is>
      </c>
      <c r="B10" s="40" t="n">
        <v>45413</v>
      </c>
      <c r="C10" s="7" t="inlineStr">
        <is>
          <t>Multan</t>
        </is>
      </c>
      <c r="D10" s="7" t="inlineStr">
        <is>
          <t>Central</t>
        </is>
      </c>
      <c r="E10" s="7" t="inlineStr">
        <is>
          <t>Engineering</t>
        </is>
      </c>
      <c r="F10" s="7" t="inlineStr">
        <is>
          <t>Direct</t>
        </is>
      </c>
      <c r="G10" s="7" t="inlineStr">
        <is>
          <t>Waqar Younis Khan</t>
        </is>
      </c>
      <c r="H10" s="7" t="inlineStr">
        <is>
          <t>Corporate</t>
        </is>
      </c>
      <c r="I10" s="11" t="n">
        <v>1200000</v>
      </c>
      <c r="J10" s="11" t="n">
        <v>14500</v>
      </c>
      <c r="K10" s="11" t="n">
        <v>20595</v>
      </c>
      <c r="L10" s="11" t="n">
        <v>1</v>
      </c>
      <c r="M10" s="7" t="inlineStr">
        <is>
          <t>Cancelled</t>
        </is>
      </c>
    </row>
    <row r="11">
      <c r="A11" s="15" t="inlineStr">
        <is>
          <t>ADM-FIR-PEW-2024-2006</t>
        </is>
      </c>
      <c r="B11" s="41" t="n">
        <v>45451</v>
      </c>
      <c r="C11" s="15" t="inlineStr">
        <is>
          <t>Peshawar</t>
        </is>
      </c>
      <c r="D11" s="15" t="inlineStr">
        <is>
          <t>North</t>
        </is>
      </c>
      <c r="E11" s="15" t="inlineStr">
        <is>
          <t>Fire &amp; Property</t>
        </is>
      </c>
      <c r="F11" s="15" t="inlineStr">
        <is>
          <t>Agency</t>
        </is>
      </c>
      <c r="G11" s="15" t="inlineStr">
        <is>
          <t>Amna Zubair</t>
        </is>
      </c>
      <c r="H11" s="15" t="inlineStr">
        <is>
          <t>Corporate</t>
        </is>
      </c>
      <c r="I11" s="14" t="n">
        <v>72000000</v>
      </c>
      <c r="J11" s="14" t="n">
        <v>1519000</v>
      </c>
      <c r="K11" s="14" t="n">
        <v>2506397</v>
      </c>
      <c r="L11" s="14" t="n">
        <v>1</v>
      </c>
      <c r="M11" s="15" t="inlineStr">
        <is>
          <t>Active</t>
        </is>
      </c>
    </row>
    <row r="12">
      <c r="A12" s="7" t="inlineStr">
        <is>
          <t>ADM-TRV-QTA-2024-2007</t>
        </is>
      </c>
      <c r="B12" s="40" t="n">
        <v>45488</v>
      </c>
      <c r="C12" s="7" t="inlineStr">
        <is>
          <t>Quetta</t>
        </is>
      </c>
      <c r="D12" s="7" t="inlineStr">
        <is>
          <t>South</t>
        </is>
      </c>
      <c r="E12" s="7" t="inlineStr">
        <is>
          <t>Travel</t>
        </is>
      </c>
      <c r="F12" s="7" t="inlineStr">
        <is>
          <t>Bancassurance</t>
        </is>
      </c>
      <c r="G12" s="7" t="inlineStr">
        <is>
          <t>Rizwan Ali Soomro</t>
        </is>
      </c>
      <c r="H12" s="7" t="inlineStr">
        <is>
          <t>Individual</t>
        </is>
      </c>
      <c r="I12" s="11" t="n">
        <v>1200000</v>
      </c>
      <c r="J12" s="11" t="n">
        <v>23900</v>
      </c>
      <c r="K12" s="11" t="n">
        <v>3819</v>
      </c>
      <c r="L12" s="11" t="n">
        <v>1</v>
      </c>
      <c r="M12" s="7" t="inlineStr">
        <is>
          <t>Active</t>
        </is>
      </c>
    </row>
    <row r="13">
      <c r="A13" s="15" t="inlineStr">
        <is>
          <t>ADM-MTR-HYD-2024-2008</t>
        </is>
      </c>
      <c r="B13" s="41" t="n">
        <v>45526</v>
      </c>
      <c r="C13" s="15" t="inlineStr">
        <is>
          <t>Hyderabad</t>
        </is>
      </c>
      <c r="D13" s="15" t="inlineStr">
        <is>
          <t>South</t>
        </is>
      </c>
      <c r="E13" s="15" t="inlineStr">
        <is>
          <t>Motor</t>
        </is>
      </c>
      <c r="F13" s="15" t="inlineStr">
        <is>
          <t>Corporate</t>
        </is>
      </c>
      <c r="G13" s="15" t="inlineStr">
        <is>
          <t>Farhan Dar</t>
        </is>
      </c>
      <c r="H13" s="15" t="inlineStr">
        <is>
          <t>Corporate</t>
        </is>
      </c>
      <c r="I13" s="14" t="n">
        <v>11500000</v>
      </c>
      <c r="J13" s="14" t="n">
        <v>204900</v>
      </c>
      <c r="K13" s="14" t="n">
        <v>293808</v>
      </c>
      <c r="L13" s="14" t="n">
        <v>1</v>
      </c>
      <c r="M13" s="15" t="inlineStr">
        <is>
          <t>Renewed</t>
        </is>
      </c>
    </row>
    <row r="14">
      <c r="A14" s="7" t="inlineStr">
        <is>
          <t>ADM-HLT-SKT-2024-2009</t>
        </is>
      </c>
      <c r="B14" s="40" t="n">
        <v>45536</v>
      </c>
      <c r="C14" s="7" t="inlineStr">
        <is>
          <t>Sialkot</t>
        </is>
      </c>
      <c r="D14" s="7" t="inlineStr">
        <is>
          <t>Central</t>
        </is>
      </c>
      <c r="E14" s="7" t="inlineStr">
        <is>
          <t>Health</t>
        </is>
      </c>
      <c r="F14" s="7" t="inlineStr">
        <is>
          <t>Direct</t>
        </is>
      </c>
      <c r="G14" s="7" t="inlineStr">
        <is>
          <t>Sobia Naz</t>
        </is>
      </c>
      <c r="H14" s="7" t="inlineStr">
        <is>
          <t>Corporate</t>
        </is>
      </c>
      <c r="I14" s="11" t="n">
        <v>6800000</v>
      </c>
      <c r="J14" s="11" t="n">
        <v>145900</v>
      </c>
      <c r="K14" s="11" t="n">
        <v>101845</v>
      </c>
      <c r="L14" s="11" t="n">
        <v>1</v>
      </c>
      <c r="M14" s="7" t="inlineStr">
        <is>
          <t>Lapsed</t>
        </is>
      </c>
    </row>
    <row r="15">
      <c r="A15" s="15" t="inlineStr">
        <is>
          <t>ADM-MSC-RWP-2024-2010</t>
        </is>
      </c>
      <c r="B15" s="41" t="n">
        <v>45573</v>
      </c>
      <c r="C15" s="15" t="inlineStr">
        <is>
          <t>Rawalpindi</t>
        </is>
      </c>
      <c r="D15" s="15" t="inlineStr">
        <is>
          <t>North</t>
        </is>
      </c>
      <c r="E15" s="15" t="inlineStr">
        <is>
          <t>Miscellaneous</t>
        </is>
      </c>
      <c r="F15" s="15" t="inlineStr">
        <is>
          <t>Agency</t>
        </is>
      </c>
      <c r="G15" s="15" t="inlineStr">
        <is>
          <t>Junaid Akram</t>
        </is>
      </c>
      <c r="H15" s="15" t="inlineStr">
        <is>
          <t>Individual</t>
        </is>
      </c>
      <c r="I15" s="14" t="n">
        <v>1200000</v>
      </c>
      <c r="J15" s="14" t="n">
        <v>20000</v>
      </c>
      <c r="K15" s="14" t="n">
        <v>15603</v>
      </c>
      <c r="L15" s="14" t="n">
        <v>1</v>
      </c>
      <c r="M15" s="15" t="inlineStr">
        <is>
          <t>Cancelled</t>
        </is>
      </c>
    </row>
    <row r="16">
      <c r="A16" s="7" t="inlineStr">
        <is>
          <t>ADM-MAR-KHI-2024-2011</t>
        </is>
      </c>
      <c r="B16" s="40" t="n">
        <v>45611</v>
      </c>
      <c r="C16" s="7" t="inlineStr">
        <is>
          <t>Karachi Main</t>
        </is>
      </c>
      <c r="D16" s="7" t="inlineStr">
        <is>
          <t>South</t>
        </is>
      </c>
      <c r="E16" s="7" t="inlineStr">
        <is>
          <t>Marine Cargo</t>
        </is>
      </c>
      <c r="F16" s="7" t="inlineStr">
        <is>
          <t>Bancassurance</t>
        </is>
      </c>
      <c r="G16" s="7" t="inlineStr">
        <is>
          <t>Hamid Raza</t>
        </is>
      </c>
      <c r="H16" s="7" t="inlineStr">
        <is>
          <t>Corporate</t>
        </is>
      </c>
      <c r="I16" s="11" t="n">
        <v>47000000</v>
      </c>
      <c r="J16" s="11" t="n">
        <v>716000</v>
      </c>
      <c r="K16" s="11" t="n">
        <v>109689</v>
      </c>
      <c r="L16" s="11" t="n">
        <v>1</v>
      </c>
      <c r="M16" s="7" t="inlineStr">
        <is>
          <t>Active</t>
        </is>
      </c>
    </row>
    <row r="17">
      <c r="A17" s="15" t="inlineStr">
        <is>
          <t>ADM-ENG-LHR-2024-2012</t>
        </is>
      </c>
      <c r="B17" s="41" t="n">
        <v>45648</v>
      </c>
      <c r="C17" s="15" t="inlineStr">
        <is>
          <t>Lahore Gulberg</t>
        </is>
      </c>
      <c r="D17" s="15" t="inlineStr">
        <is>
          <t>Central</t>
        </is>
      </c>
      <c r="E17" s="15" t="inlineStr">
        <is>
          <t>Engineering</t>
        </is>
      </c>
      <c r="F17" s="15" t="inlineStr">
        <is>
          <t>Corporate</t>
        </is>
      </c>
      <c r="G17" s="15" t="inlineStr">
        <is>
          <t>Nimra Saleem</t>
        </is>
      </c>
      <c r="H17" s="15" t="inlineStr">
        <is>
          <t>Corporate</t>
        </is>
      </c>
      <c r="I17" s="14" t="n">
        <v>28000000</v>
      </c>
      <c r="J17" s="14" t="n">
        <v>722600</v>
      </c>
      <c r="K17" s="14" t="n">
        <v>919063</v>
      </c>
      <c r="L17" s="14" t="n">
        <v>1</v>
      </c>
      <c r="M17" s="15" t="inlineStr">
        <is>
          <t>Active</t>
        </is>
      </c>
    </row>
    <row r="18">
      <c r="A18" s="7" t="inlineStr">
        <is>
          <t>ADM-FIR-ISB-2024-2013</t>
        </is>
      </c>
      <c r="B18" s="40" t="n">
        <v>45292</v>
      </c>
      <c r="C18" s="7" t="inlineStr">
        <is>
          <t>Islamabad Blue Area</t>
        </is>
      </c>
      <c r="D18" s="7" t="inlineStr">
        <is>
          <t>North</t>
        </is>
      </c>
      <c r="E18" s="7" t="inlineStr">
        <is>
          <t>Fire &amp; Property</t>
        </is>
      </c>
      <c r="F18" s="7" t="inlineStr">
        <is>
          <t>Direct</t>
        </is>
      </c>
      <c r="G18" s="7" t="inlineStr">
        <is>
          <t>Tariq Jameel</t>
        </is>
      </c>
      <c r="H18" s="7" t="inlineStr">
        <is>
          <t>Individual</t>
        </is>
      </c>
      <c r="I18" s="11" t="n">
        <v>19000000</v>
      </c>
      <c r="J18" s="11" t="n">
        <v>472900</v>
      </c>
      <c r="K18" s="11" t="n">
        <v>891308</v>
      </c>
      <c r="L18" s="11" t="n">
        <v>1</v>
      </c>
      <c r="M18" s="7" t="inlineStr">
        <is>
          <t>Renewed</t>
        </is>
      </c>
    </row>
    <row r="19">
      <c r="A19" s="15" t="inlineStr">
        <is>
          <t>ADM-TRV-FSD-2024-2014</t>
        </is>
      </c>
      <c r="B19" s="41" t="n">
        <v>45330</v>
      </c>
      <c r="C19" s="15" t="inlineStr">
        <is>
          <t>Faisalabad</t>
        </is>
      </c>
      <c r="D19" s="15" t="inlineStr">
        <is>
          <t>Central</t>
        </is>
      </c>
      <c r="E19" s="15" t="inlineStr">
        <is>
          <t>Travel</t>
        </is>
      </c>
      <c r="F19" s="15" t="inlineStr">
        <is>
          <t>Agency</t>
        </is>
      </c>
      <c r="G19" s="15" t="inlineStr">
        <is>
          <t>Nadia Hassan</t>
        </is>
      </c>
      <c r="H19" s="15" t="inlineStr">
        <is>
          <t>Corporate</t>
        </is>
      </c>
      <c r="I19" s="14" t="n">
        <v>3400000</v>
      </c>
      <c r="J19" s="14" t="n">
        <v>66300</v>
      </c>
      <c r="K19" s="14" t="n">
        <v>114579</v>
      </c>
      <c r="L19" s="14" t="n">
        <v>1</v>
      </c>
      <c r="M19" s="15" t="inlineStr">
        <is>
          <t>Lapsed</t>
        </is>
      </c>
    </row>
    <row r="20">
      <c r="A20" s="7" t="inlineStr">
        <is>
          <t>ADM-MTR-MUL-2024-2015</t>
        </is>
      </c>
      <c r="B20" s="40" t="n">
        <v>45366</v>
      </c>
      <c r="C20" s="7" t="inlineStr">
        <is>
          <t>Multan</t>
        </is>
      </c>
      <c r="D20" s="7" t="inlineStr">
        <is>
          <t>Central</t>
        </is>
      </c>
      <c r="E20" s="7" t="inlineStr">
        <is>
          <t>Motor</t>
        </is>
      </c>
      <c r="F20" s="7" t="inlineStr">
        <is>
          <t>Bancassurance</t>
        </is>
      </c>
      <c r="G20" s="7" t="inlineStr">
        <is>
          <t>Salman Shah</t>
        </is>
      </c>
      <c r="H20" s="7" t="inlineStr">
        <is>
          <t>Corporate</t>
        </is>
      </c>
      <c r="I20" s="11" t="n">
        <v>28000000</v>
      </c>
      <c r="J20" s="11" t="n">
        <v>502000</v>
      </c>
      <c r="K20" s="11" t="n">
        <v>218330</v>
      </c>
      <c r="L20" s="11" t="n">
        <v>1</v>
      </c>
      <c r="M20" s="7" t="inlineStr">
        <is>
          <t>Cancelled</t>
        </is>
      </c>
    </row>
    <row r="21">
      <c r="A21" s="15" t="inlineStr">
        <is>
          <t>ADM-HLT-PEW-2024-2016</t>
        </is>
      </c>
      <c r="B21" s="41" t="n">
        <v>45404</v>
      </c>
      <c r="C21" s="15" t="inlineStr">
        <is>
          <t>Peshawar</t>
        </is>
      </c>
      <c r="D21" s="15" t="inlineStr">
        <is>
          <t>North</t>
        </is>
      </c>
      <c r="E21" s="15" t="inlineStr">
        <is>
          <t>Health</t>
        </is>
      </c>
      <c r="F21" s="15" t="inlineStr">
        <is>
          <t>Corporate</t>
        </is>
      </c>
      <c r="G21" s="15" t="inlineStr">
        <is>
          <t>Komal Bashir</t>
        </is>
      </c>
      <c r="H21" s="15" t="inlineStr">
        <is>
          <t>Individual</t>
        </is>
      </c>
      <c r="I21" s="14" t="n">
        <v>47000000</v>
      </c>
      <c r="J21" s="14" t="n">
        <v>1011100</v>
      </c>
      <c r="K21" s="14" t="n">
        <v>1308447</v>
      </c>
      <c r="L21" s="14" t="n">
        <v>1</v>
      </c>
      <c r="M21" s="15" t="inlineStr">
        <is>
          <t>Active</t>
        </is>
      </c>
    </row>
    <row r="22">
      <c r="A22" s="7" t="inlineStr">
        <is>
          <t>ADM-MSC-QTA-2024-2017</t>
        </is>
      </c>
      <c r="B22" s="40" t="n">
        <v>45413</v>
      </c>
      <c r="C22" s="7" t="inlineStr">
        <is>
          <t>Quetta</t>
        </is>
      </c>
      <c r="D22" s="7" t="inlineStr">
        <is>
          <t>South</t>
        </is>
      </c>
      <c r="E22" s="7" t="inlineStr">
        <is>
          <t>Miscellaneous</t>
        </is>
      </c>
      <c r="F22" s="7" t="inlineStr">
        <is>
          <t>Direct</t>
        </is>
      </c>
      <c r="G22" s="7" t="inlineStr">
        <is>
          <t>Waqar Younis Khan</t>
        </is>
      </c>
      <c r="H22" s="7" t="inlineStr">
        <is>
          <t>Corporate</t>
        </is>
      </c>
      <c r="I22" s="11" t="n">
        <v>28000000</v>
      </c>
      <c r="J22" s="11" t="n">
        <v>240800</v>
      </c>
      <c r="K22" s="11" t="n">
        <v>175880</v>
      </c>
      <c r="L22" s="11" t="n">
        <v>1</v>
      </c>
      <c r="M22" s="7" t="inlineStr">
        <is>
          <t>Active</t>
        </is>
      </c>
    </row>
    <row r="23">
      <c r="A23" s="15" t="inlineStr">
        <is>
          <t>ADM-MAR-HYD-2024-2018</t>
        </is>
      </c>
      <c r="B23" s="41" t="n">
        <v>45451</v>
      </c>
      <c r="C23" s="15" t="inlineStr">
        <is>
          <t>Hyderabad</t>
        </is>
      </c>
      <c r="D23" s="15" t="inlineStr">
        <is>
          <t>South</t>
        </is>
      </c>
      <c r="E23" s="15" t="inlineStr">
        <is>
          <t>Marine Cargo</t>
        </is>
      </c>
      <c r="F23" s="15" t="inlineStr">
        <is>
          <t>Agency</t>
        </is>
      </c>
      <c r="G23" s="15" t="inlineStr">
        <is>
          <t>Amna Zubair</t>
        </is>
      </c>
      <c r="H23" s="15" t="inlineStr">
        <is>
          <t>Corporate</t>
        </is>
      </c>
      <c r="I23" s="14" t="n">
        <v>6800000</v>
      </c>
      <c r="J23" s="14" t="n">
        <v>191900</v>
      </c>
      <c r="K23" s="14" t="n">
        <v>307821</v>
      </c>
      <c r="L23" s="14" t="n">
        <v>1</v>
      </c>
      <c r="M23" s="15" t="inlineStr">
        <is>
          <t>Renewed</t>
        </is>
      </c>
    </row>
    <row r="24">
      <c r="A24" s="7" t="inlineStr">
        <is>
          <t>ADM-ENG-SKT-2024-2019</t>
        </is>
      </c>
      <c r="B24" s="40" t="n">
        <v>45488</v>
      </c>
      <c r="C24" s="7" t="inlineStr">
        <is>
          <t>Sialkot</t>
        </is>
      </c>
      <c r="D24" s="7" t="inlineStr">
        <is>
          <t>Central</t>
        </is>
      </c>
      <c r="E24" s="7" t="inlineStr">
        <is>
          <t>Engineering</t>
        </is>
      </c>
      <c r="F24" s="7" t="inlineStr">
        <is>
          <t>Bancassurance</t>
        </is>
      </c>
      <c r="G24" s="7" t="inlineStr">
        <is>
          <t>Rizwan Ali Soomro</t>
        </is>
      </c>
      <c r="H24" s="7" t="inlineStr">
        <is>
          <t>Individual</t>
        </is>
      </c>
      <c r="I24" s="11" t="n">
        <v>28000000</v>
      </c>
      <c r="J24" s="11" t="n">
        <v>576800</v>
      </c>
      <c r="K24" s="11" t="n">
        <v>942646</v>
      </c>
      <c r="L24" s="11" t="n">
        <v>1</v>
      </c>
      <c r="M24" s="7" t="inlineStr">
        <is>
          <t>Lapsed</t>
        </is>
      </c>
    </row>
    <row r="25">
      <c r="A25" s="15" t="inlineStr">
        <is>
          <t>ADM-FIR-RWP-2024-2020</t>
        </is>
      </c>
      <c r="B25" s="41" t="n">
        <v>45526</v>
      </c>
      <c r="C25" s="15" t="inlineStr">
        <is>
          <t>Rawalpindi</t>
        </is>
      </c>
      <c r="D25" s="15" t="inlineStr">
        <is>
          <t>North</t>
        </is>
      </c>
      <c r="E25" s="15" t="inlineStr">
        <is>
          <t>Fire &amp; Property</t>
        </is>
      </c>
      <c r="F25" s="15" t="inlineStr">
        <is>
          <t>Corporate</t>
        </is>
      </c>
      <c r="G25" s="15" t="inlineStr">
        <is>
          <t>Farhan Dar</t>
        </is>
      </c>
      <c r="H25" s="15" t="inlineStr">
        <is>
          <t>Corporate</t>
        </is>
      </c>
      <c r="I25" s="14" t="n">
        <v>3400000</v>
      </c>
      <c r="J25" s="14" t="n">
        <v>36800</v>
      </c>
      <c r="K25" s="14" t="n">
        <v>46076</v>
      </c>
      <c r="L25" s="14" t="n">
        <v>1</v>
      </c>
      <c r="M25" s="15" t="inlineStr">
        <is>
          <t>Cancelled</t>
        </is>
      </c>
    </row>
    <row r="26">
      <c r="A26" s="7" t="inlineStr">
        <is>
          <t>ADM-TRV-KHI-2024-2021</t>
        </is>
      </c>
      <c r="B26" s="40" t="n">
        <v>45536</v>
      </c>
      <c r="C26" s="7" t="inlineStr">
        <is>
          <t>Karachi Main</t>
        </is>
      </c>
      <c r="D26" s="7" t="inlineStr">
        <is>
          <t>South</t>
        </is>
      </c>
      <c r="E26" s="7" t="inlineStr">
        <is>
          <t>Travel</t>
        </is>
      </c>
      <c r="F26" s="7" t="inlineStr">
        <is>
          <t>Direct</t>
        </is>
      </c>
      <c r="G26" s="7" t="inlineStr">
        <is>
          <t>Sobia Naz</t>
        </is>
      </c>
      <c r="H26" s="7" t="inlineStr">
        <is>
          <t>Corporate</t>
        </is>
      </c>
      <c r="I26" s="11" t="n">
        <v>19000000</v>
      </c>
      <c r="J26" s="11" t="n">
        <v>161800</v>
      </c>
      <c r="K26" s="11" t="n">
        <v>221138</v>
      </c>
      <c r="L26" s="11" t="n">
        <v>1</v>
      </c>
      <c r="M26" s="7" t="inlineStr">
        <is>
          <t>Active</t>
        </is>
      </c>
    </row>
    <row r="27">
      <c r="A27" s="15" t="inlineStr">
        <is>
          <t>ADM-MTR-LHR-2024-2022</t>
        </is>
      </c>
      <c r="B27" s="41" t="n">
        <v>45573</v>
      </c>
      <c r="C27" s="15" t="inlineStr">
        <is>
          <t>Lahore Gulberg</t>
        </is>
      </c>
      <c r="D27" s="15" t="inlineStr">
        <is>
          <t>Central</t>
        </is>
      </c>
      <c r="E27" s="15" t="inlineStr">
        <is>
          <t>Motor</t>
        </is>
      </c>
      <c r="F27" s="15" t="inlineStr">
        <is>
          <t>Agency</t>
        </is>
      </c>
      <c r="G27" s="15" t="inlineStr">
        <is>
          <t>Junaid Akram</t>
        </is>
      </c>
      <c r="H27" s="15" t="inlineStr">
        <is>
          <t>Individual</t>
        </is>
      </c>
      <c r="I27" s="14" t="n">
        <v>72000000</v>
      </c>
      <c r="J27" s="14" t="n">
        <v>1055500</v>
      </c>
      <c r="K27" s="14" t="n">
        <v>844771</v>
      </c>
      <c r="L27" s="14" t="n">
        <v>1</v>
      </c>
      <c r="M27" s="15" t="inlineStr">
        <is>
          <t>Active</t>
        </is>
      </c>
    </row>
    <row r="28">
      <c r="A28" s="7" t="inlineStr">
        <is>
          <t>ADM-HLT-ISB-2024-2023</t>
        </is>
      </c>
      <c r="B28" s="40" t="n">
        <v>45611</v>
      </c>
      <c r="C28" s="7" t="inlineStr">
        <is>
          <t>Islamabad Blue Area</t>
        </is>
      </c>
      <c r="D28" s="7" t="inlineStr">
        <is>
          <t>North</t>
        </is>
      </c>
      <c r="E28" s="7" t="inlineStr">
        <is>
          <t>Health</t>
        </is>
      </c>
      <c r="F28" s="7" t="inlineStr">
        <is>
          <t>Bancassurance</t>
        </is>
      </c>
      <c r="G28" s="7" t="inlineStr">
        <is>
          <t>Hamid Raza</t>
        </is>
      </c>
      <c r="H28" s="7" t="inlineStr">
        <is>
          <t>Corporate</t>
        </is>
      </c>
      <c r="I28" s="11" t="n">
        <v>1200000</v>
      </c>
      <c r="J28" s="11" t="n">
        <v>6400</v>
      </c>
      <c r="K28" s="11" t="n">
        <v>498</v>
      </c>
      <c r="L28" s="11" t="n">
        <v>1</v>
      </c>
      <c r="M28" s="7" t="inlineStr">
        <is>
          <t>Renewed</t>
        </is>
      </c>
    </row>
    <row r="29">
      <c r="A29" s="15" t="inlineStr">
        <is>
          <t>ADM-MSC-FSD-2024-2024</t>
        </is>
      </c>
      <c r="B29" s="41" t="n">
        <v>45648</v>
      </c>
      <c r="C29" s="15" t="inlineStr">
        <is>
          <t>Faisalabad</t>
        </is>
      </c>
      <c r="D29" s="15" t="inlineStr">
        <is>
          <t>Central</t>
        </is>
      </c>
      <c r="E29" s="15" t="inlineStr">
        <is>
          <t>Miscellaneous</t>
        </is>
      </c>
      <c r="F29" s="15" t="inlineStr">
        <is>
          <t>Corporate</t>
        </is>
      </c>
      <c r="G29" s="15" t="inlineStr">
        <is>
          <t>Nimra Saleem</t>
        </is>
      </c>
      <c r="H29" s="15" t="inlineStr">
        <is>
          <t>Corporate</t>
        </is>
      </c>
      <c r="I29" s="14" t="n">
        <v>1200000</v>
      </c>
      <c r="J29" s="14" t="n">
        <v>33200</v>
      </c>
      <c r="K29" s="14" t="n">
        <v>32745</v>
      </c>
      <c r="L29" s="14" t="n">
        <v>1</v>
      </c>
      <c r="M29" s="15" t="inlineStr">
        <is>
          <t>Lapsed</t>
        </is>
      </c>
    </row>
    <row r="30">
      <c r="A30" s="7" t="inlineStr">
        <is>
          <t>ADM-MAR-MUL-2024-2025</t>
        </is>
      </c>
      <c r="B30" s="40" t="n">
        <v>45292</v>
      </c>
      <c r="C30" s="7" t="inlineStr">
        <is>
          <t>Multan</t>
        </is>
      </c>
      <c r="D30" s="7" t="inlineStr">
        <is>
          <t>Central</t>
        </is>
      </c>
      <c r="E30" s="7" t="inlineStr">
        <is>
          <t>Marine Cargo</t>
        </is>
      </c>
      <c r="F30" s="7" t="inlineStr">
        <is>
          <t>Direct</t>
        </is>
      </c>
      <c r="G30" s="7" t="inlineStr">
        <is>
          <t>Tariq Jameel</t>
        </is>
      </c>
      <c r="H30" s="7" t="inlineStr">
        <is>
          <t>Individual</t>
        </is>
      </c>
      <c r="I30" s="11" t="n">
        <v>11500000</v>
      </c>
      <c r="J30" s="11" t="n">
        <v>208500</v>
      </c>
      <c r="K30" s="11" t="n">
        <v>71918</v>
      </c>
      <c r="L30" s="11" t="n">
        <v>1</v>
      </c>
      <c r="M30" s="7" t="inlineStr">
        <is>
          <t>Cancelled</t>
        </is>
      </c>
    </row>
    <row r="31">
      <c r="A31" s="15" t="inlineStr">
        <is>
          <t>ADM-ENG-PEW-2024-2026</t>
        </is>
      </c>
      <c r="B31" s="41" t="n">
        <v>45330</v>
      </c>
      <c r="C31" s="15" t="inlineStr">
        <is>
          <t>Peshawar</t>
        </is>
      </c>
      <c r="D31" s="15" t="inlineStr">
        <is>
          <t>North</t>
        </is>
      </c>
      <c r="E31" s="15" t="inlineStr">
        <is>
          <t>Engineering</t>
        </is>
      </c>
      <c r="F31" s="15" t="inlineStr">
        <is>
          <t>Agency</t>
        </is>
      </c>
      <c r="G31" s="15" t="inlineStr">
        <is>
          <t>Nadia Hassan</t>
        </is>
      </c>
      <c r="H31" s="15" t="inlineStr">
        <is>
          <t>Corporate</t>
        </is>
      </c>
      <c r="I31" s="14" t="n">
        <v>1200000</v>
      </c>
      <c r="J31" s="14" t="n">
        <v>29100</v>
      </c>
      <c r="K31" s="14" t="n">
        <v>4151</v>
      </c>
      <c r="L31" s="14" t="n">
        <v>1</v>
      </c>
      <c r="M31" s="15" t="inlineStr">
        <is>
          <t>Active</t>
        </is>
      </c>
    </row>
    <row r="32">
      <c r="A32" s="7" t="inlineStr">
        <is>
          <t>ADM-FIR-QTA-2024-2027</t>
        </is>
      </c>
      <c r="B32" s="40" t="n">
        <v>45366</v>
      </c>
      <c r="C32" s="7" t="inlineStr">
        <is>
          <t>Quetta</t>
        </is>
      </c>
      <c r="D32" s="7" t="inlineStr">
        <is>
          <t>South</t>
        </is>
      </c>
      <c r="E32" s="7" t="inlineStr">
        <is>
          <t>Fire &amp; Property</t>
        </is>
      </c>
      <c r="F32" s="7" t="inlineStr">
        <is>
          <t>Bancassurance</t>
        </is>
      </c>
      <c r="G32" s="7" t="inlineStr">
        <is>
          <t>Salman Shah</t>
        </is>
      </c>
      <c r="H32" s="7" t="inlineStr">
        <is>
          <t>Corporate</t>
        </is>
      </c>
      <c r="I32" s="11" t="n">
        <v>1200000</v>
      </c>
      <c r="J32" s="11" t="n">
        <v>9500</v>
      </c>
      <c r="K32" s="11" t="n">
        <v>12702</v>
      </c>
      <c r="L32" s="11" t="n">
        <v>1</v>
      </c>
      <c r="M32" s="7" t="inlineStr">
        <is>
          <t>Active</t>
        </is>
      </c>
    </row>
    <row r="33">
      <c r="A33" s="15" t="inlineStr">
        <is>
          <t>ADM-TRV-HYD-2024-2028</t>
        </is>
      </c>
      <c r="B33" s="41" t="n">
        <v>45404</v>
      </c>
      <c r="C33" s="15" t="inlineStr">
        <is>
          <t>Hyderabad</t>
        </is>
      </c>
      <c r="D33" s="15" t="inlineStr">
        <is>
          <t>South</t>
        </is>
      </c>
      <c r="E33" s="15" t="inlineStr">
        <is>
          <t>Travel</t>
        </is>
      </c>
      <c r="F33" s="15" t="inlineStr">
        <is>
          <t>Corporate</t>
        </is>
      </c>
      <c r="G33" s="15" t="inlineStr">
        <is>
          <t>Komal Bashir</t>
        </is>
      </c>
      <c r="H33" s="15" t="inlineStr">
        <is>
          <t>Individual</t>
        </is>
      </c>
      <c r="I33" s="14" t="n">
        <v>19000000</v>
      </c>
      <c r="J33" s="14" t="n">
        <v>477300</v>
      </c>
      <c r="K33" s="14" t="n">
        <v>729502</v>
      </c>
      <c r="L33" s="14" t="n">
        <v>1</v>
      </c>
      <c r="M33" s="15" t="inlineStr">
        <is>
          <t>Renewed</t>
        </is>
      </c>
    </row>
    <row r="34">
      <c r="A34" s="7" t="inlineStr">
        <is>
          <t>ADM-MTR-SKT-2024-2029</t>
        </is>
      </c>
      <c r="B34" s="40" t="n">
        <v>45413</v>
      </c>
      <c r="C34" s="7" t="inlineStr">
        <is>
          <t>Sialkot</t>
        </is>
      </c>
      <c r="D34" s="7" t="inlineStr">
        <is>
          <t>Central</t>
        </is>
      </c>
      <c r="E34" s="7" t="inlineStr">
        <is>
          <t>Motor</t>
        </is>
      </c>
      <c r="F34" s="7" t="inlineStr">
        <is>
          <t>Direct</t>
        </is>
      </c>
      <c r="G34" s="7" t="inlineStr">
        <is>
          <t>Waqar Younis Khan</t>
        </is>
      </c>
      <c r="H34" s="7" t="inlineStr">
        <is>
          <t>Corporate</t>
        </is>
      </c>
      <c r="I34" s="11" t="n">
        <v>1200000</v>
      </c>
      <c r="J34" s="11" t="n">
        <v>29800</v>
      </c>
      <c r="K34" s="11" t="n">
        <v>28455</v>
      </c>
      <c r="L34" s="11" t="n">
        <v>1</v>
      </c>
      <c r="M34" s="7" t="inlineStr">
        <is>
          <t>Lapsed</t>
        </is>
      </c>
    </row>
    <row r="35">
      <c r="A35" s="15" t="inlineStr">
        <is>
          <t>ADM-HLT-RWP-2024-2030</t>
        </is>
      </c>
      <c r="B35" s="41" t="n">
        <v>45451</v>
      </c>
      <c r="C35" s="15" t="inlineStr">
        <is>
          <t>Rawalpindi</t>
        </is>
      </c>
      <c r="D35" s="15" t="inlineStr">
        <is>
          <t>North</t>
        </is>
      </c>
      <c r="E35" s="15" t="inlineStr">
        <is>
          <t>Health</t>
        </is>
      </c>
      <c r="F35" s="15" t="inlineStr">
        <is>
          <t>Agency</t>
        </is>
      </c>
      <c r="G35" s="15" t="inlineStr">
        <is>
          <t>Amna Zubair</t>
        </is>
      </c>
      <c r="H35" s="15" t="inlineStr">
        <is>
          <t>Corporate</t>
        </is>
      </c>
      <c r="I35" s="14" t="n">
        <v>1200000</v>
      </c>
      <c r="J35" s="14" t="n">
        <v>22700</v>
      </c>
      <c r="K35" s="14" t="n">
        <v>10619</v>
      </c>
      <c r="L35" s="14" t="n">
        <v>1</v>
      </c>
      <c r="M35" s="15" t="inlineStr">
        <is>
          <t>Cancelled</t>
        </is>
      </c>
    </row>
    <row r="36">
      <c r="A36" s="7" t="inlineStr">
        <is>
          <t>ADM-MSC-KHI-2024-2031</t>
        </is>
      </c>
      <c r="B36" s="40" t="n">
        <v>45488</v>
      </c>
      <c r="C36" s="7" t="inlineStr">
        <is>
          <t>Karachi Main</t>
        </is>
      </c>
      <c r="D36" s="7" t="inlineStr">
        <is>
          <t>South</t>
        </is>
      </c>
      <c r="E36" s="7" t="inlineStr">
        <is>
          <t>Miscellaneous</t>
        </is>
      </c>
      <c r="F36" s="7" t="inlineStr">
        <is>
          <t>Bancassurance</t>
        </is>
      </c>
      <c r="G36" s="7" t="inlineStr">
        <is>
          <t>Rizwan Ali Soomro</t>
        </is>
      </c>
      <c r="H36" s="7" t="inlineStr">
        <is>
          <t>Individual</t>
        </is>
      </c>
      <c r="I36" s="11" t="n">
        <v>47000000</v>
      </c>
      <c r="J36" s="11" t="n">
        <v>322500</v>
      </c>
      <c r="K36" s="11" t="n">
        <v>38715</v>
      </c>
      <c r="L36" s="11" t="n">
        <v>1</v>
      </c>
      <c r="M36" s="7" t="inlineStr">
        <is>
          <t>Active</t>
        </is>
      </c>
    </row>
    <row r="37">
      <c r="A37" s="15" t="inlineStr">
        <is>
          <t>ADM-MAR-LHR-2024-2032</t>
        </is>
      </c>
      <c r="B37" s="41" t="n">
        <v>45526</v>
      </c>
      <c r="C37" s="15" t="inlineStr">
        <is>
          <t>Lahore Gulberg</t>
        </is>
      </c>
      <c r="D37" s="15" t="inlineStr">
        <is>
          <t>Central</t>
        </is>
      </c>
      <c r="E37" s="15" t="inlineStr">
        <is>
          <t>Marine Cargo</t>
        </is>
      </c>
      <c r="F37" s="15" t="inlineStr">
        <is>
          <t>Corporate</t>
        </is>
      </c>
      <c r="G37" s="15" t="inlineStr">
        <is>
          <t>Farhan Dar</t>
        </is>
      </c>
      <c r="H37" s="15" t="inlineStr">
        <is>
          <t>Corporate</t>
        </is>
      </c>
      <c r="I37" s="14" t="n">
        <v>3400000</v>
      </c>
      <c r="J37" s="14" t="n">
        <v>25600</v>
      </c>
      <c r="K37" s="14" t="n">
        <v>20754</v>
      </c>
      <c r="L37" s="14" t="n">
        <v>1</v>
      </c>
      <c r="M37" s="15" t="inlineStr">
        <is>
          <t>Active</t>
        </is>
      </c>
    </row>
    <row r="38">
      <c r="A38" s="7" t="inlineStr">
        <is>
          <t>ADM-ENG-ISB-2024-2033</t>
        </is>
      </c>
      <c r="B38" s="40" t="n">
        <v>45536</v>
      </c>
      <c r="C38" s="7" t="inlineStr">
        <is>
          <t>Islamabad Blue Area</t>
        </is>
      </c>
      <c r="D38" s="7" t="inlineStr">
        <is>
          <t>North</t>
        </is>
      </c>
      <c r="E38" s="7" t="inlineStr">
        <is>
          <t>Engineering</t>
        </is>
      </c>
      <c r="F38" s="7" t="inlineStr">
        <is>
          <t>Direct</t>
        </is>
      </c>
      <c r="G38" s="7" t="inlineStr">
        <is>
          <t>Sobia Naz</t>
        </is>
      </c>
      <c r="H38" s="7" t="inlineStr">
        <is>
          <t>Corporate</t>
        </is>
      </c>
      <c r="I38" s="11" t="n">
        <v>3400000</v>
      </c>
      <c r="J38" s="11" t="n">
        <v>75400</v>
      </c>
      <c r="K38" s="11" t="n">
        <v>115086</v>
      </c>
      <c r="L38" s="11" t="n">
        <v>1</v>
      </c>
      <c r="M38" s="7" t="inlineStr">
        <is>
          <t>Renewed</t>
        </is>
      </c>
    </row>
    <row r="39">
      <c r="A39" s="15" t="inlineStr">
        <is>
          <t>ADM-FIR-FSD-2024-2034</t>
        </is>
      </c>
      <c r="B39" s="41" t="n">
        <v>45573</v>
      </c>
      <c r="C39" s="15" t="inlineStr">
        <is>
          <t>Faisalabad</t>
        </is>
      </c>
      <c r="D39" s="15" t="inlineStr">
        <is>
          <t>Central</t>
        </is>
      </c>
      <c r="E39" s="15" t="inlineStr">
        <is>
          <t>Fire &amp; Property</t>
        </is>
      </c>
      <c r="F39" s="15" t="inlineStr">
        <is>
          <t>Agency</t>
        </is>
      </c>
      <c r="G39" s="15" t="inlineStr">
        <is>
          <t>Junaid Akram</t>
        </is>
      </c>
      <c r="H39" s="15" t="inlineStr">
        <is>
          <t>Individual</t>
        </is>
      </c>
      <c r="I39" s="14" t="n">
        <v>47000000</v>
      </c>
      <c r="J39" s="14" t="n">
        <v>850800</v>
      </c>
      <c r="K39" s="14" t="n">
        <v>1420024</v>
      </c>
      <c r="L39" s="14" t="n">
        <v>1</v>
      </c>
      <c r="M39" s="15" t="inlineStr">
        <is>
          <t>Lapsed</t>
        </is>
      </c>
    </row>
    <row r="40">
      <c r="A40" s="7" t="inlineStr">
        <is>
          <t>ADM-TRV-MUL-2024-2035</t>
        </is>
      </c>
      <c r="B40" s="40" t="n">
        <v>45611</v>
      </c>
      <c r="C40" s="7" t="inlineStr">
        <is>
          <t>Multan</t>
        </is>
      </c>
      <c r="D40" s="7" t="inlineStr">
        <is>
          <t>Central</t>
        </is>
      </c>
      <c r="E40" s="7" t="inlineStr">
        <is>
          <t>Travel</t>
        </is>
      </c>
      <c r="F40" s="7" t="inlineStr">
        <is>
          <t>Bancassurance</t>
        </is>
      </c>
      <c r="G40" s="7" t="inlineStr">
        <is>
          <t>Hamid Raza</t>
        </is>
      </c>
      <c r="H40" s="7" t="inlineStr">
        <is>
          <t>Corporate</t>
        </is>
      </c>
      <c r="I40" s="11" t="n">
        <v>1200000</v>
      </c>
      <c r="J40" s="11" t="n">
        <v>33800</v>
      </c>
      <c r="K40" s="11" t="n">
        <v>30579</v>
      </c>
      <c r="L40" s="11" t="n">
        <v>1</v>
      </c>
      <c r="M40" s="7" t="inlineStr">
        <is>
          <t>Cancelled</t>
        </is>
      </c>
    </row>
    <row r="41">
      <c r="A41" s="15" t="inlineStr">
        <is>
          <t>ADM-MTR-PEW-2024-2036</t>
        </is>
      </c>
      <c r="B41" s="41" t="n">
        <v>45648</v>
      </c>
      <c r="C41" s="15" t="inlineStr">
        <is>
          <t>Peshawar</t>
        </is>
      </c>
      <c r="D41" s="15" t="inlineStr">
        <is>
          <t>North</t>
        </is>
      </c>
      <c r="E41" s="15" t="inlineStr">
        <is>
          <t>Motor</t>
        </is>
      </c>
      <c r="F41" s="15" t="inlineStr">
        <is>
          <t>Corporate</t>
        </is>
      </c>
      <c r="G41" s="15" t="inlineStr">
        <is>
          <t>Nimra Saleem</t>
        </is>
      </c>
      <c r="H41" s="15" t="inlineStr">
        <is>
          <t>Corporate</t>
        </is>
      </c>
      <c r="I41" s="14" t="n">
        <v>72000000</v>
      </c>
      <c r="J41" s="14" t="n">
        <v>565300</v>
      </c>
      <c r="K41" s="14" t="n">
        <v>412203</v>
      </c>
      <c r="L41" s="14" t="n">
        <v>1</v>
      </c>
      <c r="M41" s="15" t="inlineStr">
        <is>
          <t>Active</t>
        </is>
      </c>
    </row>
    <row r="42">
      <c r="A42" s="7" t="inlineStr">
        <is>
          <t>ADM-HLT-QTA-2024-2037</t>
        </is>
      </c>
      <c r="B42" s="40" t="n">
        <v>45292</v>
      </c>
      <c r="C42" s="7" t="inlineStr">
        <is>
          <t>Quetta</t>
        </is>
      </c>
      <c r="D42" s="7" t="inlineStr">
        <is>
          <t>South</t>
        </is>
      </c>
      <c r="E42" s="7" t="inlineStr">
        <is>
          <t>Health</t>
        </is>
      </c>
      <c r="F42" s="7" t="inlineStr">
        <is>
          <t>Direct</t>
        </is>
      </c>
      <c r="G42" s="7" t="inlineStr">
        <is>
          <t>Tariq Jameel</t>
        </is>
      </c>
      <c r="H42" s="7" t="inlineStr">
        <is>
          <t>Individual</t>
        </is>
      </c>
      <c r="I42" s="11" t="n">
        <v>6800000</v>
      </c>
      <c r="J42" s="11" t="n">
        <v>67400</v>
      </c>
      <c r="K42" s="11" t="n">
        <v>48692</v>
      </c>
      <c r="L42" s="11" t="n">
        <v>1</v>
      </c>
      <c r="M42" s="7" t="inlineStr">
        <is>
          <t>Active</t>
        </is>
      </c>
    </row>
    <row r="43">
      <c r="A43" s="15" t="inlineStr">
        <is>
          <t>ADM-MSC-HYD-2024-2038</t>
        </is>
      </c>
      <c r="B43" s="41" t="n">
        <v>45330</v>
      </c>
      <c r="C43" s="15" t="inlineStr">
        <is>
          <t>Hyderabad</t>
        </is>
      </c>
      <c r="D43" s="15" t="inlineStr">
        <is>
          <t>South</t>
        </is>
      </c>
      <c r="E43" s="15" t="inlineStr">
        <is>
          <t>Miscellaneous</t>
        </is>
      </c>
      <c r="F43" s="15" t="inlineStr">
        <is>
          <t>Agency</t>
        </is>
      </c>
      <c r="G43" s="15" t="inlineStr">
        <is>
          <t>Nadia Hassan</t>
        </is>
      </c>
      <c r="H43" s="15" t="inlineStr">
        <is>
          <t>Corporate</t>
        </is>
      </c>
      <c r="I43" s="14" t="n">
        <v>72000000</v>
      </c>
      <c r="J43" s="14" t="n">
        <v>1545300</v>
      </c>
      <c r="K43" s="14" t="n">
        <v>2216356</v>
      </c>
      <c r="L43" s="14" t="n">
        <v>1</v>
      </c>
      <c r="M43" s="15" t="inlineStr">
        <is>
          <t>Renewed</t>
        </is>
      </c>
    </row>
    <row r="44">
      <c r="A44" s="7" t="inlineStr">
        <is>
          <t>ADM-MAR-SKT-2024-2039</t>
        </is>
      </c>
      <c r="B44" s="40" t="n">
        <v>45366</v>
      </c>
      <c r="C44" s="7" t="inlineStr">
        <is>
          <t>Sialkot</t>
        </is>
      </c>
      <c r="D44" s="7" t="inlineStr">
        <is>
          <t>Central</t>
        </is>
      </c>
      <c r="E44" s="7" t="inlineStr">
        <is>
          <t>Marine Cargo</t>
        </is>
      </c>
      <c r="F44" s="7" t="inlineStr">
        <is>
          <t>Bancassurance</t>
        </is>
      </c>
      <c r="G44" s="7" t="inlineStr">
        <is>
          <t>Salman Shah</t>
        </is>
      </c>
      <c r="H44" s="7" t="inlineStr">
        <is>
          <t>Corporate</t>
        </is>
      </c>
      <c r="I44" s="11" t="n">
        <v>6800000</v>
      </c>
      <c r="J44" s="11" t="n">
        <v>69600</v>
      </c>
      <c r="K44" s="11" t="n">
        <v>27900</v>
      </c>
      <c r="L44" s="11" t="n">
        <v>1</v>
      </c>
      <c r="M44" s="7" t="inlineStr">
        <is>
          <t>Lapsed</t>
        </is>
      </c>
    </row>
    <row r="45">
      <c r="A45" s="15" t="inlineStr">
        <is>
          <t>ADM-ENG-RWP-2024-2040</t>
        </is>
      </c>
      <c r="B45" s="41" t="n">
        <v>45404</v>
      </c>
      <c r="C45" s="15" t="inlineStr">
        <is>
          <t>Rawalpindi</t>
        </is>
      </c>
      <c r="D45" s="15" t="inlineStr">
        <is>
          <t>North</t>
        </is>
      </c>
      <c r="E45" s="15" t="inlineStr">
        <is>
          <t>Engineering</t>
        </is>
      </c>
      <c r="F45" s="15" t="inlineStr">
        <is>
          <t>Corporate</t>
        </is>
      </c>
      <c r="G45" s="15" t="inlineStr">
        <is>
          <t>Komal Bashir</t>
        </is>
      </c>
      <c r="H45" s="15" t="inlineStr">
        <is>
          <t>Individual</t>
        </is>
      </c>
      <c r="I45" s="14" t="n">
        <v>19000000</v>
      </c>
      <c r="J45" s="14" t="n">
        <v>342100</v>
      </c>
      <c r="K45" s="14" t="n">
        <v>194150</v>
      </c>
      <c r="L45" s="14" t="n">
        <v>1</v>
      </c>
      <c r="M45" s="15" t="inlineStr">
        <is>
          <t>Cancelled</t>
        </is>
      </c>
    </row>
    <row r="46">
      <c r="A46" s="7" t="inlineStr">
        <is>
          <t>ADM-FIR-KHI-2024-2041</t>
        </is>
      </c>
      <c r="B46" s="40" t="n">
        <v>45413</v>
      </c>
      <c r="C46" s="7" t="inlineStr">
        <is>
          <t>Karachi Main</t>
        </is>
      </c>
      <c r="D46" s="7" t="inlineStr">
        <is>
          <t>South</t>
        </is>
      </c>
      <c r="E46" s="7" t="inlineStr">
        <is>
          <t>Fire &amp; Property</t>
        </is>
      </c>
      <c r="F46" s="7" t="inlineStr">
        <is>
          <t>Direct</t>
        </is>
      </c>
      <c r="G46" s="7" t="inlineStr">
        <is>
          <t>Waqar Younis Khan</t>
        </is>
      </c>
      <c r="H46" s="7" t="inlineStr">
        <is>
          <t>Corporate</t>
        </is>
      </c>
      <c r="I46" s="11" t="n">
        <v>1200000</v>
      </c>
      <c r="J46" s="11" t="n">
        <v>33100</v>
      </c>
      <c r="K46" s="11" t="n">
        <v>22602</v>
      </c>
      <c r="L46" s="11" t="n">
        <v>1</v>
      </c>
      <c r="M46" s="7" t="inlineStr">
        <is>
          <t>Active</t>
        </is>
      </c>
    </row>
    <row r="47">
      <c r="A47" s="15" t="inlineStr">
        <is>
          <t>ADM-TRV-LHR-2024-2042</t>
        </is>
      </c>
      <c r="B47" s="41" t="n">
        <v>45451</v>
      </c>
      <c r="C47" s="15" t="inlineStr">
        <is>
          <t>Lahore Gulberg</t>
        </is>
      </c>
      <c r="D47" s="15" t="inlineStr">
        <is>
          <t>Central</t>
        </is>
      </c>
      <c r="E47" s="15" t="inlineStr">
        <is>
          <t>Travel</t>
        </is>
      </c>
      <c r="F47" s="15" t="inlineStr">
        <is>
          <t>Agency</t>
        </is>
      </c>
      <c r="G47" s="15" t="inlineStr">
        <is>
          <t>Amna Zubair</t>
        </is>
      </c>
      <c r="H47" s="15" t="inlineStr">
        <is>
          <t>Corporate</t>
        </is>
      </c>
      <c r="I47" s="14" t="n">
        <v>1200000</v>
      </c>
      <c r="J47" s="14" t="n">
        <v>33900</v>
      </c>
      <c r="K47" s="14" t="n">
        <v>38937</v>
      </c>
      <c r="L47" s="14" t="n">
        <v>1</v>
      </c>
      <c r="M47" s="15" t="inlineStr">
        <is>
          <t>Active</t>
        </is>
      </c>
    </row>
    <row r="48">
      <c r="A48" s="7" t="inlineStr">
        <is>
          <t>ADM-MTR-ISB-2024-2043</t>
        </is>
      </c>
      <c r="B48" s="40" t="n">
        <v>45488</v>
      </c>
      <c r="C48" s="7" t="inlineStr">
        <is>
          <t>Islamabad Blue Area</t>
        </is>
      </c>
      <c r="D48" s="7" t="inlineStr">
        <is>
          <t>North</t>
        </is>
      </c>
      <c r="E48" s="7" t="inlineStr">
        <is>
          <t>Motor</t>
        </is>
      </c>
      <c r="F48" s="7" t="inlineStr">
        <is>
          <t>Bancassurance</t>
        </is>
      </c>
      <c r="G48" s="7" t="inlineStr">
        <is>
          <t>Rizwan Ali Soomro</t>
        </is>
      </c>
      <c r="H48" s="7" t="inlineStr">
        <is>
          <t>Individual</t>
        </is>
      </c>
      <c r="I48" s="11" t="n">
        <v>1200000</v>
      </c>
      <c r="J48" s="11" t="n">
        <v>32500</v>
      </c>
      <c r="K48" s="11" t="n">
        <v>832</v>
      </c>
      <c r="L48" s="11" t="n">
        <v>1</v>
      </c>
      <c r="M48" s="7" t="inlineStr">
        <is>
          <t>Renewed</t>
        </is>
      </c>
    </row>
    <row r="49">
      <c r="A49" s="15" t="inlineStr">
        <is>
          <t>ADM-HLT-FSD-2024-2044</t>
        </is>
      </c>
      <c r="B49" s="41" t="n">
        <v>45526</v>
      </c>
      <c r="C49" s="15" t="inlineStr">
        <is>
          <t>Faisalabad</t>
        </is>
      </c>
      <c r="D49" s="15" t="inlineStr">
        <is>
          <t>Central</t>
        </is>
      </c>
      <c r="E49" s="15" t="inlineStr">
        <is>
          <t>Health</t>
        </is>
      </c>
      <c r="F49" s="15" t="inlineStr">
        <is>
          <t>Corporate</t>
        </is>
      </c>
      <c r="G49" s="15" t="inlineStr">
        <is>
          <t>Farhan Dar</t>
        </is>
      </c>
      <c r="H49" s="15" t="inlineStr">
        <is>
          <t>Corporate</t>
        </is>
      </c>
      <c r="I49" s="14" t="n">
        <v>19000000</v>
      </c>
      <c r="J49" s="14" t="n">
        <v>533700</v>
      </c>
      <c r="K49" s="14" t="n">
        <v>328720</v>
      </c>
      <c r="L49" s="14" t="n">
        <v>1</v>
      </c>
      <c r="M49" s="15" t="inlineStr">
        <is>
          <t>Lapsed</t>
        </is>
      </c>
    </row>
    <row r="50">
      <c r="A50" s="7" t="inlineStr">
        <is>
          <t>ADM-MSC-MUL-2024-2045</t>
        </is>
      </c>
      <c r="B50" s="40" t="n">
        <v>45536</v>
      </c>
      <c r="C50" s="7" t="inlineStr">
        <is>
          <t>Multan</t>
        </is>
      </c>
      <c r="D50" s="7" t="inlineStr">
        <is>
          <t>Central</t>
        </is>
      </c>
      <c r="E50" s="7" t="inlineStr">
        <is>
          <t>Miscellaneous</t>
        </is>
      </c>
      <c r="F50" s="7" t="inlineStr">
        <is>
          <t>Direct</t>
        </is>
      </c>
      <c r="G50" s="7" t="inlineStr">
        <is>
          <t>Sobia Naz</t>
        </is>
      </c>
      <c r="H50" s="7" t="inlineStr">
        <is>
          <t>Corporate</t>
        </is>
      </c>
      <c r="I50" s="11" t="n">
        <v>6800000</v>
      </c>
      <c r="J50" s="11" t="n">
        <v>98700</v>
      </c>
      <c r="K50" s="11" t="n">
        <v>82186</v>
      </c>
      <c r="L50" s="11" t="n">
        <v>1</v>
      </c>
      <c r="M50" s="7" t="inlineStr">
        <is>
          <t>Cancelled</t>
        </is>
      </c>
    </row>
    <row r="51">
      <c r="A51" s="15" t="inlineStr">
        <is>
          <t>ADM-MAR-PEW-2024-2046</t>
        </is>
      </c>
      <c r="B51" s="41" t="n">
        <v>45573</v>
      </c>
      <c r="C51" s="15" t="inlineStr">
        <is>
          <t>Peshawar</t>
        </is>
      </c>
      <c r="D51" s="15" t="inlineStr">
        <is>
          <t>North</t>
        </is>
      </c>
      <c r="E51" s="15" t="inlineStr">
        <is>
          <t>Marine Cargo</t>
        </is>
      </c>
      <c r="F51" s="15" t="inlineStr">
        <is>
          <t>Agency</t>
        </is>
      </c>
      <c r="G51" s="15" t="inlineStr">
        <is>
          <t>Junaid Akram</t>
        </is>
      </c>
      <c r="H51" s="15" t="inlineStr">
        <is>
          <t>Individual</t>
        </is>
      </c>
      <c r="I51" s="14" t="n">
        <v>6800000</v>
      </c>
      <c r="J51" s="14" t="n">
        <v>86800</v>
      </c>
      <c r="K51" s="14" t="n">
        <v>159241</v>
      </c>
      <c r="L51" s="14" t="n">
        <v>1</v>
      </c>
      <c r="M51" s="15" t="inlineStr">
        <is>
          <t>Active</t>
        </is>
      </c>
    </row>
    <row r="52">
      <c r="A52" s="7" t="inlineStr">
        <is>
          <t>ADM-ENG-QTA-2024-2047</t>
        </is>
      </c>
      <c r="B52" s="40" t="n">
        <v>45611</v>
      </c>
      <c r="C52" s="7" t="inlineStr">
        <is>
          <t>Quetta</t>
        </is>
      </c>
      <c r="D52" s="7" t="inlineStr">
        <is>
          <t>South</t>
        </is>
      </c>
      <c r="E52" s="7" t="inlineStr">
        <is>
          <t>Engineering</t>
        </is>
      </c>
      <c r="F52" s="7" t="inlineStr">
        <is>
          <t>Bancassurance</t>
        </is>
      </c>
      <c r="G52" s="7" t="inlineStr">
        <is>
          <t>Hamid Raza</t>
        </is>
      </c>
      <c r="H52" s="7" t="inlineStr">
        <is>
          <t>Corporate</t>
        </is>
      </c>
      <c r="I52" s="11" t="n">
        <v>11500000</v>
      </c>
      <c r="J52" s="11" t="n">
        <v>241200</v>
      </c>
      <c r="K52" s="11" t="n">
        <v>123144</v>
      </c>
      <c r="L52" s="11" t="n">
        <v>1</v>
      </c>
      <c r="M52" s="7" t="inlineStr">
        <is>
          <t>Active</t>
        </is>
      </c>
    </row>
    <row r="53">
      <c r="A53" s="15" t="inlineStr">
        <is>
          <t>ADM-FIR-HYD-2024-2048</t>
        </is>
      </c>
      <c r="B53" s="41" t="n">
        <v>45648</v>
      </c>
      <c r="C53" s="15" t="inlineStr">
        <is>
          <t>Hyderabad</t>
        </is>
      </c>
      <c r="D53" s="15" t="inlineStr">
        <is>
          <t>South</t>
        </is>
      </c>
      <c r="E53" s="15" t="inlineStr">
        <is>
          <t>Fire &amp; Property</t>
        </is>
      </c>
      <c r="F53" s="15" t="inlineStr">
        <is>
          <t>Corporate</t>
        </is>
      </c>
      <c r="G53" s="15" t="inlineStr">
        <is>
          <t>Nimra Saleem</t>
        </is>
      </c>
      <c r="H53" s="15" t="inlineStr">
        <is>
          <t>Corporate</t>
        </is>
      </c>
      <c r="I53" s="14" t="n">
        <v>72000000</v>
      </c>
      <c r="J53" s="14" t="n">
        <v>750700</v>
      </c>
      <c r="K53" s="14" t="n">
        <v>1310060</v>
      </c>
      <c r="L53" s="14" t="n">
        <v>1</v>
      </c>
      <c r="M53" s="15" t="inlineStr">
        <is>
          <t>Renewed</t>
        </is>
      </c>
    </row>
    <row r="54">
      <c r="A54" s="7" t="inlineStr">
        <is>
          <t>ADM-TRV-SKT-2024-2049</t>
        </is>
      </c>
      <c r="B54" s="40" t="n">
        <v>45292</v>
      </c>
      <c r="C54" s="7" t="inlineStr">
        <is>
          <t>Sialkot</t>
        </is>
      </c>
      <c r="D54" s="7" t="inlineStr">
        <is>
          <t>Central</t>
        </is>
      </c>
      <c r="E54" s="7" t="inlineStr">
        <is>
          <t>Travel</t>
        </is>
      </c>
      <c r="F54" s="7" t="inlineStr">
        <is>
          <t>Direct</t>
        </is>
      </c>
      <c r="G54" s="7" t="inlineStr">
        <is>
          <t>Tariq Jameel</t>
        </is>
      </c>
      <c r="H54" s="7" t="inlineStr">
        <is>
          <t>Individual</t>
        </is>
      </c>
      <c r="I54" s="11" t="n">
        <v>72000000</v>
      </c>
      <c r="J54" s="11" t="n">
        <v>1755700</v>
      </c>
      <c r="K54" s="11" t="n">
        <v>112983</v>
      </c>
      <c r="L54" s="11" t="n">
        <v>1</v>
      </c>
      <c r="M54" s="7" t="inlineStr">
        <is>
          <t>Lapsed</t>
        </is>
      </c>
    </row>
    <row r="55">
      <c r="A55" s="15" t="inlineStr">
        <is>
          <t>ADM-MTR-RWP-2024-2050</t>
        </is>
      </c>
      <c r="B55" s="41" t="n">
        <v>45330</v>
      </c>
      <c r="C55" s="15" t="inlineStr">
        <is>
          <t>Rawalpindi</t>
        </is>
      </c>
      <c r="D55" s="15" t="inlineStr">
        <is>
          <t>North</t>
        </is>
      </c>
      <c r="E55" s="15" t="inlineStr">
        <is>
          <t>Motor</t>
        </is>
      </c>
      <c r="F55" s="15" t="inlineStr">
        <is>
          <t>Agency</t>
        </is>
      </c>
      <c r="G55" s="15" t="inlineStr">
        <is>
          <t>Nadia Hassan</t>
        </is>
      </c>
      <c r="H55" s="15" t="inlineStr">
        <is>
          <t>Corporate</t>
        </is>
      </c>
      <c r="I55" s="14" t="n">
        <v>1200000</v>
      </c>
      <c r="J55" s="14" t="n">
        <v>9200</v>
      </c>
      <c r="K55" s="14" t="n">
        <v>10507</v>
      </c>
      <c r="L55" s="14" t="n">
        <v>1</v>
      </c>
      <c r="M55" s="15" t="inlineStr">
        <is>
          <t>Cancelled</t>
        </is>
      </c>
    </row>
    <row r="56">
      <c r="A56" s="7" t="inlineStr">
        <is>
          <t>ADM-HLT-KHI-2024-2051</t>
        </is>
      </c>
      <c r="B56" s="40" t="n">
        <v>45366</v>
      </c>
      <c r="C56" s="7" t="inlineStr">
        <is>
          <t>Karachi Main</t>
        </is>
      </c>
      <c r="D56" s="7" t="inlineStr">
        <is>
          <t>South</t>
        </is>
      </c>
      <c r="E56" s="7" t="inlineStr">
        <is>
          <t>Health</t>
        </is>
      </c>
      <c r="F56" s="7" t="inlineStr">
        <is>
          <t>Bancassurance</t>
        </is>
      </c>
      <c r="G56" s="7" t="inlineStr">
        <is>
          <t>Salman Shah</t>
        </is>
      </c>
      <c r="H56" s="7" t="inlineStr">
        <is>
          <t>Corporate</t>
        </is>
      </c>
      <c r="I56" s="11" t="n">
        <v>1200000</v>
      </c>
      <c r="J56" s="11" t="n">
        <v>27200</v>
      </c>
      <c r="K56" s="11" t="n">
        <v>43127</v>
      </c>
      <c r="L56" s="11" t="n">
        <v>1</v>
      </c>
      <c r="M56" s="7" t="inlineStr">
        <is>
          <t>Active</t>
        </is>
      </c>
    </row>
    <row r="57">
      <c r="A57" s="15" t="inlineStr">
        <is>
          <t>ADM-MSC-LHR-2024-2052</t>
        </is>
      </c>
      <c r="B57" s="41" t="n">
        <v>45404</v>
      </c>
      <c r="C57" s="15" t="inlineStr">
        <is>
          <t>Lahore Gulberg</t>
        </is>
      </c>
      <c r="D57" s="15" t="inlineStr">
        <is>
          <t>Central</t>
        </is>
      </c>
      <c r="E57" s="15" t="inlineStr">
        <is>
          <t>Miscellaneous</t>
        </is>
      </c>
      <c r="F57" s="15" t="inlineStr">
        <is>
          <t>Corporate</t>
        </is>
      </c>
      <c r="G57" s="15" t="inlineStr">
        <is>
          <t>Komal Bashir</t>
        </is>
      </c>
      <c r="H57" s="15" t="inlineStr">
        <is>
          <t>Individual</t>
        </is>
      </c>
      <c r="I57" s="14" t="n">
        <v>47000000</v>
      </c>
      <c r="J57" s="14" t="n">
        <v>529800</v>
      </c>
      <c r="K57" s="14" t="n">
        <v>256933</v>
      </c>
      <c r="L57" s="14" t="n">
        <v>1</v>
      </c>
      <c r="M57" s="15" t="inlineStr">
        <is>
          <t>Active</t>
        </is>
      </c>
    </row>
    <row r="58">
      <c r="A58" s="7" t="inlineStr">
        <is>
          <t>ADM-MAR-ISB-2024-2053</t>
        </is>
      </c>
      <c r="B58" s="40" t="n">
        <v>45413</v>
      </c>
      <c r="C58" s="7" t="inlineStr">
        <is>
          <t>Islamabad Blue Area</t>
        </is>
      </c>
      <c r="D58" s="7" t="inlineStr">
        <is>
          <t>North</t>
        </is>
      </c>
      <c r="E58" s="7" t="inlineStr">
        <is>
          <t>Marine Cargo</t>
        </is>
      </c>
      <c r="F58" s="7" t="inlineStr">
        <is>
          <t>Direct</t>
        </is>
      </c>
      <c r="G58" s="7" t="inlineStr">
        <is>
          <t>Waqar Younis Khan</t>
        </is>
      </c>
      <c r="H58" s="7" t="inlineStr">
        <is>
          <t>Corporate</t>
        </is>
      </c>
      <c r="I58" s="11" t="n">
        <v>72000000</v>
      </c>
      <c r="J58" s="11" t="n">
        <v>1845200</v>
      </c>
      <c r="K58" s="11" t="n">
        <v>901690</v>
      </c>
      <c r="L58" s="11" t="n">
        <v>1</v>
      </c>
      <c r="M58" s="7" t="inlineStr">
        <is>
          <t>Renewed</t>
        </is>
      </c>
    </row>
    <row r="59">
      <c r="A59" s="15" t="inlineStr">
        <is>
          <t>ADM-ENG-FSD-2024-2054</t>
        </is>
      </c>
      <c r="B59" s="41" t="n">
        <v>45451</v>
      </c>
      <c r="C59" s="15" t="inlineStr">
        <is>
          <t>Faisalabad</t>
        </is>
      </c>
      <c r="D59" s="15" t="inlineStr">
        <is>
          <t>Central</t>
        </is>
      </c>
      <c r="E59" s="15" t="inlineStr">
        <is>
          <t>Engineering</t>
        </is>
      </c>
      <c r="F59" s="15" t="inlineStr">
        <is>
          <t>Agency</t>
        </is>
      </c>
      <c r="G59" s="15" t="inlineStr">
        <is>
          <t>Amna Zubair</t>
        </is>
      </c>
      <c r="H59" s="15" t="inlineStr">
        <is>
          <t>Corporate</t>
        </is>
      </c>
      <c r="I59" s="14" t="n">
        <v>72000000</v>
      </c>
      <c r="J59" s="14" t="n">
        <v>439500</v>
      </c>
      <c r="K59" s="14" t="n">
        <v>142358</v>
      </c>
      <c r="L59" s="14" t="n">
        <v>1</v>
      </c>
      <c r="M59" s="15" t="inlineStr">
        <is>
          <t>Lapsed</t>
        </is>
      </c>
    </row>
    <row r="60">
      <c r="A60" s="7" t="inlineStr">
        <is>
          <t>ADM-FIR-MUL-2024-2055</t>
        </is>
      </c>
      <c r="B60" s="40" t="n">
        <v>45488</v>
      </c>
      <c r="C60" s="7" t="inlineStr">
        <is>
          <t>Multan</t>
        </is>
      </c>
      <c r="D60" s="7" t="inlineStr">
        <is>
          <t>Central</t>
        </is>
      </c>
      <c r="E60" s="7" t="inlineStr">
        <is>
          <t>Fire &amp; Property</t>
        </is>
      </c>
      <c r="F60" s="7" t="inlineStr">
        <is>
          <t>Bancassurance</t>
        </is>
      </c>
      <c r="G60" s="7" t="inlineStr">
        <is>
          <t>Rizwan Ali Soomro</t>
        </is>
      </c>
      <c r="H60" s="7" t="inlineStr">
        <is>
          <t>Individual</t>
        </is>
      </c>
      <c r="I60" s="11" t="n">
        <v>72000000</v>
      </c>
      <c r="J60" s="11" t="n">
        <v>1904500</v>
      </c>
      <c r="K60" s="11" t="n">
        <v>2127168</v>
      </c>
      <c r="L60" s="11" t="n">
        <v>1</v>
      </c>
      <c r="M60" s="7" t="inlineStr">
        <is>
          <t>Cancelled</t>
        </is>
      </c>
    </row>
    <row r="61">
      <c r="A61" s="15" t="inlineStr">
        <is>
          <t>ADM-TRV-PEW-2024-2056</t>
        </is>
      </c>
      <c r="B61" s="41" t="n">
        <v>45526</v>
      </c>
      <c r="C61" s="15" t="inlineStr">
        <is>
          <t>Peshawar</t>
        </is>
      </c>
      <c r="D61" s="15" t="inlineStr">
        <is>
          <t>North</t>
        </is>
      </c>
      <c r="E61" s="15" t="inlineStr">
        <is>
          <t>Travel</t>
        </is>
      </c>
      <c r="F61" s="15" t="inlineStr">
        <is>
          <t>Corporate</t>
        </is>
      </c>
      <c r="G61" s="15" t="inlineStr">
        <is>
          <t>Farhan Dar</t>
        </is>
      </c>
      <c r="H61" s="15" t="inlineStr">
        <is>
          <t>Corporate</t>
        </is>
      </c>
      <c r="I61" s="14" t="n">
        <v>72000000</v>
      </c>
      <c r="J61" s="14" t="n">
        <v>2216000</v>
      </c>
      <c r="K61" s="14" t="n">
        <v>844750</v>
      </c>
      <c r="L61" s="14" t="n">
        <v>1</v>
      </c>
      <c r="M61" s="15" t="inlineStr">
        <is>
          <t>Active</t>
        </is>
      </c>
    </row>
    <row r="62">
      <c r="A62" s="7" t="inlineStr">
        <is>
          <t>ADM-MTR-QTA-2024-2057</t>
        </is>
      </c>
      <c r="B62" s="40" t="n">
        <v>45536</v>
      </c>
      <c r="C62" s="7" t="inlineStr">
        <is>
          <t>Quetta</t>
        </is>
      </c>
      <c r="D62" s="7" t="inlineStr">
        <is>
          <t>South</t>
        </is>
      </c>
      <c r="E62" s="7" t="inlineStr">
        <is>
          <t>Motor</t>
        </is>
      </c>
      <c r="F62" s="7" t="inlineStr">
        <is>
          <t>Direct</t>
        </is>
      </c>
      <c r="G62" s="7" t="inlineStr">
        <is>
          <t>Sobia Naz</t>
        </is>
      </c>
      <c r="H62" s="7" t="inlineStr">
        <is>
          <t>Corporate</t>
        </is>
      </c>
      <c r="I62" s="11" t="n">
        <v>6800000</v>
      </c>
      <c r="J62" s="11" t="n">
        <v>205000</v>
      </c>
      <c r="K62" s="11" t="n">
        <v>340836</v>
      </c>
      <c r="L62" s="11" t="n">
        <v>1</v>
      </c>
      <c r="M62" s="7" t="inlineStr">
        <is>
          <t>Active</t>
        </is>
      </c>
    </row>
    <row r="63">
      <c r="A63" s="15" t="inlineStr">
        <is>
          <t>ADM-HLT-HYD-2024-2058</t>
        </is>
      </c>
      <c r="B63" s="41" t="n">
        <v>45573</v>
      </c>
      <c r="C63" s="15" t="inlineStr">
        <is>
          <t>Hyderabad</t>
        </is>
      </c>
      <c r="D63" s="15" t="inlineStr">
        <is>
          <t>South</t>
        </is>
      </c>
      <c r="E63" s="15" t="inlineStr">
        <is>
          <t>Health</t>
        </is>
      </c>
      <c r="F63" s="15" t="inlineStr">
        <is>
          <t>Agency</t>
        </is>
      </c>
      <c r="G63" s="15" t="inlineStr">
        <is>
          <t>Junaid Akram</t>
        </is>
      </c>
      <c r="H63" s="15" t="inlineStr">
        <is>
          <t>Individual</t>
        </is>
      </c>
      <c r="I63" s="14" t="n">
        <v>47000000</v>
      </c>
      <c r="J63" s="14" t="n">
        <v>625000</v>
      </c>
      <c r="K63" s="14" t="n">
        <v>389202</v>
      </c>
      <c r="L63" s="14" t="n">
        <v>1</v>
      </c>
      <c r="M63" s="15" t="inlineStr">
        <is>
          <t>Renewed</t>
        </is>
      </c>
    </row>
    <row r="64">
      <c r="A64" s="7" t="inlineStr">
        <is>
          <t>ADM-MSC-SKT-2024-2059</t>
        </is>
      </c>
      <c r="B64" s="40" t="n">
        <v>45611</v>
      </c>
      <c r="C64" s="7" t="inlineStr">
        <is>
          <t>Sialkot</t>
        </is>
      </c>
      <c r="D64" s="7" t="inlineStr">
        <is>
          <t>Central</t>
        </is>
      </c>
      <c r="E64" s="7" t="inlineStr">
        <is>
          <t>Miscellaneous</t>
        </is>
      </c>
      <c r="F64" s="7" t="inlineStr">
        <is>
          <t>Bancassurance</t>
        </is>
      </c>
      <c r="G64" s="7" t="inlineStr">
        <is>
          <t>Hamid Raza</t>
        </is>
      </c>
      <c r="H64" s="7" t="inlineStr">
        <is>
          <t>Corporate</t>
        </is>
      </c>
      <c r="I64" s="11" t="n">
        <v>28000000</v>
      </c>
      <c r="J64" s="11" t="n">
        <v>848100</v>
      </c>
      <c r="K64" s="11" t="n">
        <v>1353456</v>
      </c>
      <c r="L64" s="11" t="n">
        <v>1</v>
      </c>
      <c r="M64" s="7" t="inlineStr">
        <is>
          <t>Lapsed</t>
        </is>
      </c>
    </row>
    <row r="65">
      <c r="A65" s="15" t="inlineStr">
        <is>
          <t>ADM-MAR-RWP-2024-2060</t>
        </is>
      </c>
      <c r="B65" s="41" t="n">
        <v>45648</v>
      </c>
      <c r="C65" s="15" t="inlineStr">
        <is>
          <t>Rawalpindi</t>
        </is>
      </c>
      <c r="D65" s="15" t="inlineStr">
        <is>
          <t>North</t>
        </is>
      </c>
      <c r="E65" s="15" t="inlineStr">
        <is>
          <t>Marine Cargo</t>
        </is>
      </c>
      <c r="F65" s="15" t="inlineStr">
        <is>
          <t>Corporate</t>
        </is>
      </c>
      <c r="G65" s="15" t="inlineStr">
        <is>
          <t>Nimra Saleem</t>
        </is>
      </c>
      <c r="H65" s="15" t="inlineStr">
        <is>
          <t>Corporate</t>
        </is>
      </c>
      <c r="I65" s="14" t="n">
        <v>19000000</v>
      </c>
      <c r="J65" s="14" t="n">
        <v>293100</v>
      </c>
      <c r="K65" s="14" t="n">
        <v>355754</v>
      </c>
      <c r="L65" s="14" t="n">
        <v>1</v>
      </c>
      <c r="M65" s="15" t="inlineStr">
        <is>
          <t>Cancelled</t>
        </is>
      </c>
    </row>
    <row r="66">
      <c r="A66" s="7" t="inlineStr">
        <is>
          <t>ADM-ENG-KHI-2024-2061</t>
        </is>
      </c>
      <c r="B66" s="40" t="n">
        <v>45292</v>
      </c>
      <c r="C66" s="7" t="inlineStr">
        <is>
          <t>Karachi Main</t>
        </is>
      </c>
      <c r="D66" s="7" t="inlineStr">
        <is>
          <t>South</t>
        </is>
      </c>
      <c r="E66" s="7" t="inlineStr">
        <is>
          <t>Engineering</t>
        </is>
      </c>
      <c r="F66" s="7" t="inlineStr">
        <is>
          <t>Direct</t>
        </is>
      </c>
      <c r="G66" s="7" t="inlineStr">
        <is>
          <t>Tariq Jameel</t>
        </is>
      </c>
      <c r="H66" s="7" t="inlineStr">
        <is>
          <t>Individual</t>
        </is>
      </c>
      <c r="I66" s="11" t="n">
        <v>3400000</v>
      </c>
      <c r="J66" s="11" t="n">
        <v>99500</v>
      </c>
      <c r="K66" s="11" t="n">
        <v>58895</v>
      </c>
      <c r="L66" s="11" t="n">
        <v>1</v>
      </c>
      <c r="M66" s="7" t="inlineStr">
        <is>
          <t>Active</t>
        </is>
      </c>
    </row>
    <row r="67">
      <c r="A67" s="15" t="inlineStr">
        <is>
          <t>ADM-FIR-LHR-2024-2062</t>
        </is>
      </c>
      <c r="B67" s="41" t="n">
        <v>45330</v>
      </c>
      <c r="C67" s="15" t="inlineStr">
        <is>
          <t>Lahore Gulberg</t>
        </is>
      </c>
      <c r="D67" s="15" t="inlineStr">
        <is>
          <t>Central</t>
        </is>
      </c>
      <c r="E67" s="15" t="inlineStr">
        <is>
          <t>Fire &amp; Property</t>
        </is>
      </c>
      <c r="F67" s="15" t="inlineStr">
        <is>
          <t>Agency</t>
        </is>
      </c>
      <c r="G67" s="15" t="inlineStr">
        <is>
          <t>Nadia Hassan</t>
        </is>
      </c>
      <c r="H67" s="15" t="inlineStr">
        <is>
          <t>Corporate</t>
        </is>
      </c>
      <c r="I67" s="14" t="n">
        <v>72000000</v>
      </c>
      <c r="J67" s="14" t="n">
        <v>482300</v>
      </c>
      <c r="K67" s="14" t="n">
        <v>734148</v>
      </c>
      <c r="L67" s="14" t="n">
        <v>1</v>
      </c>
      <c r="M67" s="15" t="inlineStr">
        <is>
          <t>Active</t>
        </is>
      </c>
    </row>
    <row r="68">
      <c r="A68" s="7" t="inlineStr">
        <is>
          <t>ADM-TRV-ISB-2024-2063</t>
        </is>
      </c>
      <c r="B68" s="40" t="n">
        <v>45366</v>
      </c>
      <c r="C68" s="7" t="inlineStr">
        <is>
          <t>Islamabad Blue Area</t>
        </is>
      </c>
      <c r="D68" s="7" t="inlineStr">
        <is>
          <t>North</t>
        </is>
      </c>
      <c r="E68" s="7" t="inlineStr">
        <is>
          <t>Travel</t>
        </is>
      </c>
      <c r="F68" s="7" t="inlineStr">
        <is>
          <t>Bancassurance</t>
        </is>
      </c>
      <c r="G68" s="7" t="inlineStr">
        <is>
          <t>Salman Shah</t>
        </is>
      </c>
      <c r="H68" s="7" t="inlineStr">
        <is>
          <t>Corporate</t>
        </is>
      </c>
      <c r="I68" s="11" t="n">
        <v>47000000</v>
      </c>
      <c r="J68" s="11" t="n">
        <v>829800</v>
      </c>
      <c r="K68" s="11" t="n">
        <v>459043</v>
      </c>
      <c r="L68" s="11" t="n">
        <v>1</v>
      </c>
      <c r="M68" s="7" t="inlineStr">
        <is>
          <t>Renewed</t>
        </is>
      </c>
    </row>
    <row r="69">
      <c r="A69" s="15" t="inlineStr">
        <is>
          <t>ADM-MTR-FSD-2024-2064</t>
        </is>
      </c>
      <c r="B69" s="41" t="n">
        <v>45404</v>
      </c>
      <c r="C69" s="15" t="inlineStr">
        <is>
          <t>Faisalabad</t>
        </is>
      </c>
      <c r="D69" s="15" t="inlineStr">
        <is>
          <t>Central</t>
        </is>
      </c>
      <c r="E69" s="15" t="inlineStr">
        <is>
          <t>Motor</t>
        </is>
      </c>
      <c r="F69" s="15" t="inlineStr">
        <is>
          <t>Corporate</t>
        </is>
      </c>
      <c r="G69" s="15" t="inlineStr">
        <is>
          <t>Komal Bashir</t>
        </is>
      </c>
      <c r="H69" s="15" t="inlineStr">
        <is>
          <t>Individual</t>
        </is>
      </c>
      <c r="I69" s="14" t="n">
        <v>72000000</v>
      </c>
      <c r="J69" s="14" t="n">
        <v>1006900</v>
      </c>
      <c r="K69" s="14" t="n">
        <v>107807</v>
      </c>
      <c r="L69" s="14" t="n">
        <v>1</v>
      </c>
      <c r="M69" s="15" t="inlineStr">
        <is>
          <t>Lapsed</t>
        </is>
      </c>
    </row>
    <row r="70">
      <c r="A70" s="7" t="inlineStr">
        <is>
          <t>ADM-HLT-MUL-2024-2065</t>
        </is>
      </c>
      <c r="B70" s="40" t="n">
        <v>45413</v>
      </c>
      <c r="C70" s="7" t="inlineStr">
        <is>
          <t>Multan</t>
        </is>
      </c>
      <c r="D70" s="7" t="inlineStr">
        <is>
          <t>Central</t>
        </is>
      </c>
      <c r="E70" s="7" t="inlineStr">
        <is>
          <t>Health</t>
        </is>
      </c>
      <c r="F70" s="7" t="inlineStr">
        <is>
          <t>Direct</t>
        </is>
      </c>
      <c r="G70" s="7" t="inlineStr">
        <is>
          <t>Waqar Younis Khan</t>
        </is>
      </c>
      <c r="H70" s="7" t="inlineStr">
        <is>
          <t>Corporate</t>
        </is>
      </c>
      <c r="I70" s="11" t="n">
        <v>1200000</v>
      </c>
      <c r="J70" s="11" t="n">
        <v>36500</v>
      </c>
      <c r="K70" s="11" t="n">
        <v>53071</v>
      </c>
      <c r="L70" s="11" t="n">
        <v>1</v>
      </c>
      <c r="M70" s="7" t="inlineStr">
        <is>
          <t>Cancelled</t>
        </is>
      </c>
    </row>
    <row r="71">
      <c r="A71" s="15" t="inlineStr">
        <is>
          <t>ADM-MSC-PEW-2024-2066</t>
        </is>
      </c>
      <c r="B71" s="41" t="n">
        <v>45451</v>
      </c>
      <c r="C71" s="15" t="inlineStr">
        <is>
          <t>Peshawar</t>
        </is>
      </c>
      <c r="D71" s="15" t="inlineStr">
        <is>
          <t>North</t>
        </is>
      </c>
      <c r="E71" s="15" t="inlineStr">
        <is>
          <t>Miscellaneous</t>
        </is>
      </c>
      <c r="F71" s="15" t="inlineStr">
        <is>
          <t>Agency</t>
        </is>
      </c>
      <c r="G71" s="15" t="inlineStr">
        <is>
          <t>Amna Zubair</t>
        </is>
      </c>
      <c r="H71" s="15" t="inlineStr">
        <is>
          <t>Corporate</t>
        </is>
      </c>
      <c r="I71" s="14" t="n">
        <v>28000000</v>
      </c>
      <c r="J71" s="14" t="n">
        <v>489500</v>
      </c>
      <c r="K71" s="14" t="n">
        <v>196838</v>
      </c>
      <c r="L71" s="14" t="n">
        <v>1</v>
      </c>
      <c r="M71" s="15" t="inlineStr">
        <is>
          <t>Active</t>
        </is>
      </c>
    </row>
    <row r="72">
      <c r="A72" s="7" t="inlineStr">
        <is>
          <t>ADM-MAR-QTA-2024-2067</t>
        </is>
      </c>
      <c r="B72" s="40" t="n">
        <v>45488</v>
      </c>
      <c r="C72" s="7" t="inlineStr">
        <is>
          <t>Quetta</t>
        </is>
      </c>
      <c r="D72" s="7" t="inlineStr">
        <is>
          <t>South</t>
        </is>
      </c>
      <c r="E72" s="7" t="inlineStr">
        <is>
          <t>Marine Cargo</t>
        </is>
      </c>
      <c r="F72" s="7" t="inlineStr">
        <is>
          <t>Bancassurance</t>
        </is>
      </c>
      <c r="G72" s="7" t="inlineStr">
        <is>
          <t>Rizwan Ali Soomro</t>
        </is>
      </c>
      <c r="H72" s="7" t="inlineStr">
        <is>
          <t>Individual</t>
        </is>
      </c>
      <c r="I72" s="11" t="n">
        <v>3400000</v>
      </c>
      <c r="J72" s="11" t="n">
        <v>24200</v>
      </c>
      <c r="K72" s="11" t="n">
        <v>1580</v>
      </c>
      <c r="L72" s="11" t="n">
        <v>1</v>
      </c>
      <c r="M72" s="7" t="inlineStr">
        <is>
          <t>Active</t>
        </is>
      </c>
    </row>
    <row r="73">
      <c r="A73" s="15" t="inlineStr">
        <is>
          <t>ADM-ENG-HYD-2024-2068</t>
        </is>
      </c>
      <c r="B73" s="41" t="n">
        <v>45526</v>
      </c>
      <c r="C73" s="15" t="inlineStr">
        <is>
          <t>Hyderabad</t>
        </is>
      </c>
      <c r="D73" s="15" t="inlineStr">
        <is>
          <t>South</t>
        </is>
      </c>
      <c r="E73" s="15" t="inlineStr">
        <is>
          <t>Engineering</t>
        </is>
      </c>
      <c r="F73" s="15" t="inlineStr">
        <is>
          <t>Corporate</t>
        </is>
      </c>
      <c r="G73" s="15" t="inlineStr">
        <is>
          <t>Farhan Dar</t>
        </is>
      </c>
      <c r="H73" s="15" t="inlineStr">
        <is>
          <t>Corporate</t>
        </is>
      </c>
      <c r="I73" s="14" t="n">
        <v>28000000</v>
      </c>
      <c r="J73" s="14" t="n">
        <v>517500</v>
      </c>
      <c r="K73" s="14" t="n">
        <v>652081</v>
      </c>
      <c r="L73" s="14" t="n">
        <v>1</v>
      </c>
      <c r="M73" s="15" t="inlineStr">
        <is>
          <t>Renewed</t>
        </is>
      </c>
    </row>
    <row r="74">
      <c r="A74" s="7" t="inlineStr">
        <is>
          <t>ADM-FIR-SKT-2024-2069</t>
        </is>
      </c>
      <c r="B74" s="40" t="n">
        <v>45536</v>
      </c>
      <c r="C74" s="7" t="inlineStr">
        <is>
          <t>Sialkot</t>
        </is>
      </c>
      <c r="D74" s="7" t="inlineStr">
        <is>
          <t>Central</t>
        </is>
      </c>
      <c r="E74" s="7" t="inlineStr">
        <is>
          <t>Fire &amp; Property</t>
        </is>
      </c>
      <c r="F74" s="7" t="inlineStr">
        <is>
          <t>Direct</t>
        </is>
      </c>
      <c r="G74" s="7" t="inlineStr">
        <is>
          <t>Sobia Naz</t>
        </is>
      </c>
      <c r="H74" s="7" t="inlineStr">
        <is>
          <t>Corporate</t>
        </is>
      </c>
      <c r="I74" s="11" t="n">
        <v>11500000</v>
      </c>
      <c r="J74" s="11" t="n">
        <v>88300</v>
      </c>
      <c r="K74" s="11" t="n">
        <v>136682</v>
      </c>
      <c r="L74" s="11" t="n">
        <v>1</v>
      </c>
      <c r="M74" s="7" t="inlineStr">
        <is>
          <t>Lapsed</t>
        </is>
      </c>
    </row>
    <row r="75">
      <c r="A75" s="15" t="inlineStr">
        <is>
          <t>ADM-TRV-RWP-2024-2070</t>
        </is>
      </c>
      <c r="B75" s="41" t="n">
        <v>45573</v>
      </c>
      <c r="C75" s="15" t="inlineStr">
        <is>
          <t>Rawalpindi</t>
        </is>
      </c>
      <c r="D75" s="15" t="inlineStr">
        <is>
          <t>North</t>
        </is>
      </c>
      <c r="E75" s="15" t="inlineStr">
        <is>
          <t>Travel</t>
        </is>
      </c>
      <c r="F75" s="15" t="inlineStr">
        <is>
          <t>Agency</t>
        </is>
      </c>
      <c r="G75" s="15" t="inlineStr">
        <is>
          <t>Junaid Akram</t>
        </is>
      </c>
      <c r="H75" s="15" t="inlineStr">
        <is>
          <t>Individual</t>
        </is>
      </c>
      <c r="I75" s="14" t="n">
        <v>3400000</v>
      </c>
      <c r="J75" s="14" t="n">
        <v>81700</v>
      </c>
      <c r="K75" s="14" t="n">
        <v>16624</v>
      </c>
      <c r="L75" s="14" t="n">
        <v>1</v>
      </c>
      <c r="M75" s="15" t="inlineStr">
        <is>
          <t>Cancelled</t>
        </is>
      </c>
    </row>
    <row r="76">
      <c r="A76" s="7" t="inlineStr">
        <is>
          <t>ADM-MTR-KHI-2024-2071</t>
        </is>
      </c>
      <c r="B76" s="40" t="n">
        <v>45611</v>
      </c>
      <c r="C76" s="7" t="inlineStr">
        <is>
          <t>Karachi Main</t>
        </is>
      </c>
      <c r="D76" s="7" t="inlineStr">
        <is>
          <t>South</t>
        </is>
      </c>
      <c r="E76" s="7" t="inlineStr">
        <is>
          <t>Motor</t>
        </is>
      </c>
      <c r="F76" s="7" t="inlineStr">
        <is>
          <t>Bancassurance</t>
        </is>
      </c>
      <c r="G76" s="7" t="inlineStr">
        <is>
          <t>Hamid Raza</t>
        </is>
      </c>
      <c r="H76" s="7" t="inlineStr">
        <is>
          <t>Corporate</t>
        </is>
      </c>
      <c r="I76" s="11" t="n">
        <v>28000000</v>
      </c>
      <c r="J76" s="11" t="n">
        <v>161500</v>
      </c>
      <c r="K76" s="11" t="n">
        <v>16054</v>
      </c>
      <c r="L76" s="11" t="n">
        <v>1</v>
      </c>
      <c r="M76" s="7" t="inlineStr">
        <is>
          <t>Active</t>
        </is>
      </c>
    </row>
    <row r="77">
      <c r="A77" s="15" t="inlineStr">
        <is>
          <t>ADM-HLT-LHR-2024-2072</t>
        </is>
      </c>
      <c r="B77" s="41" t="n">
        <v>45648</v>
      </c>
      <c r="C77" s="15" t="inlineStr">
        <is>
          <t>Lahore Gulberg</t>
        </is>
      </c>
      <c r="D77" s="15" t="inlineStr">
        <is>
          <t>Central</t>
        </is>
      </c>
      <c r="E77" s="15" t="inlineStr">
        <is>
          <t>Health</t>
        </is>
      </c>
      <c r="F77" s="15" t="inlineStr">
        <is>
          <t>Corporate</t>
        </is>
      </c>
      <c r="G77" s="15" t="inlineStr">
        <is>
          <t>Nimra Saleem</t>
        </is>
      </c>
      <c r="H77" s="15" t="inlineStr">
        <is>
          <t>Corporate</t>
        </is>
      </c>
      <c r="I77" s="14" t="n">
        <v>19000000</v>
      </c>
      <c r="J77" s="14" t="n">
        <v>564300</v>
      </c>
      <c r="K77" s="14" t="n">
        <v>295386</v>
      </c>
      <c r="L77" s="14" t="n">
        <v>1</v>
      </c>
      <c r="M77" s="15" t="inlineStr">
        <is>
          <t>Active</t>
        </is>
      </c>
    </row>
    <row r="78">
      <c r="A78" s="7" t="inlineStr">
        <is>
          <t>ADM-MSC-ISB-2024-2073</t>
        </is>
      </c>
      <c r="B78" s="40" t="n">
        <v>45292</v>
      </c>
      <c r="C78" s="7" t="inlineStr">
        <is>
          <t>Islamabad Blue Area</t>
        </is>
      </c>
      <c r="D78" s="7" t="inlineStr">
        <is>
          <t>North</t>
        </is>
      </c>
      <c r="E78" s="7" t="inlineStr">
        <is>
          <t>Miscellaneous</t>
        </is>
      </c>
      <c r="F78" s="7" t="inlineStr">
        <is>
          <t>Direct</t>
        </is>
      </c>
      <c r="G78" s="7" t="inlineStr">
        <is>
          <t>Tariq Jameel</t>
        </is>
      </c>
      <c r="H78" s="7" t="inlineStr">
        <is>
          <t>Individual</t>
        </is>
      </c>
      <c r="I78" s="11" t="n">
        <v>47000000</v>
      </c>
      <c r="J78" s="11" t="n">
        <v>817800</v>
      </c>
      <c r="K78" s="11" t="n">
        <v>1386052</v>
      </c>
      <c r="L78" s="11" t="n">
        <v>1</v>
      </c>
      <c r="M78" s="7" t="inlineStr">
        <is>
          <t>Renewed</t>
        </is>
      </c>
    </row>
    <row r="79">
      <c r="A79" s="15" t="inlineStr">
        <is>
          <t>ADM-MAR-FSD-2024-2074</t>
        </is>
      </c>
      <c r="B79" s="41" t="n">
        <v>45330</v>
      </c>
      <c r="C79" s="15" t="inlineStr">
        <is>
          <t>Faisalabad</t>
        </is>
      </c>
      <c r="D79" s="15" t="inlineStr">
        <is>
          <t>Central</t>
        </is>
      </c>
      <c r="E79" s="15" t="inlineStr">
        <is>
          <t>Marine Cargo</t>
        </is>
      </c>
      <c r="F79" s="15" t="inlineStr">
        <is>
          <t>Agency</t>
        </is>
      </c>
      <c r="G79" s="15" t="inlineStr">
        <is>
          <t>Nadia Hassan</t>
        </is>
      </c>
      <c r="H79" s="15" t="inlineStr">
        <is>
          <t>Corporate</t>
        </is>
      </c>
      <c r="I79" s="14" t="n">
        <v>47000000</v>
      </c>
      <c r="J79" s="14" t="n">
        <v>809700</v>
      </c>
      <c r="K79" s="14" t="n">
        <v>1107509</v>
      </c>
      <c r="L79" s="14" t="n">
        <v>1</v>
      </c>
      <c r="M79" s="15" t="inlineStr">
        <is>
          <t>Lapsed</t>
        </is>
      </c>
    </row>
    <row r="80">
      <c r="A80" s="7" t="inlineStr">
        <is>
          <t>ADM-ENG-MUL-2024-2075</t>
        </is>
      </c>
      <c r="B80" s="40" t="n">
        <v>45366</v>
      </c>
      <c r="C80" s="7" t="inlineStr">
        <is>
          <t>Multan</t>
        </is>
      </c>
      <c r="D80" s="7" t="inlineStr">
        <is>
          <t>Central</t>
        </is>
      </c>
      <c r="E80" s="7" t="inlineStr">
        <is>
          <t>Engineering</t>
        </is>
      </c>
      <c r="F80" s="7" t="inlineStr">
        <is>
          <t>Bancassurance</t>
        </is>
      </c>
      <c r="G80" s="7" t="inlineStr">
        <is>
          <t>Salman Shah</t>
        </is>
      </c>
      <c r="H80" s="7" t="inlineStr">
        <is>
          <t>Corporate</t>
        </is>
      </c>
      <c r="I80" s="11" t="n">
        <v>28000000</v>
      </c>
      <c r="J80" s="11" t="n">
        <v>314100</v>
      </c>
      <c r="K80" s="11" t="n">
        <v>530669</v>
      </c>
      <c r="L80" s="11" t="n">
        <v>1</v>
      </c>
      <c r="M80" s="7" t="inlineStr">
        <is>
          <t>Cancelled</t>
        </is>
      </c>
    </row>
    <row r="81">
      <c r="A81" s="15" t="inlineStr">
        <is>
          <t>ADM-FIR-PEW-2024-2076</t>
        </is>
      </c>
      <c r="B81" s="41" t="n">
        <v>45404</v>
      </c>
      <c r="C81" s="15" t="inlineStr">
        <is>
          <t>Peshawar</t>
        </is>
      </c>
      <c r="D81" s="15" t="inlineStr">
        <is>
          <t>North</t>
        </is>
      </c>
      <c r="E81" s="15" t="inlineStr">
        <is>
          <t>Fire &amp; Property</t>
        </is>
      </c>
      <c r="F81" s="15" t="inlineStr">
        <is>
          <t>Corporate</t>
        </is>
      </c>
      <c r="G81" s="15" t="inlineStr">
        <is>
          <t>Komal Bashir</t>
        </is>
      </c>
      <c r="H81" s="15" t="inlineStr">
        <is>
          <t>Individual</t>
        </is>
      </c>
      <c r="I81" s="14" t="n">
        <v>3400000</v>
      </c>
      <c r="J81" s="14" t="n">
        <v>56300</v>
      </c>
      <c r="K81" s="14" t="n">
        <v>84054</v>
      </c>
      <c r="L81" s="14" t="n">
        <v>1</v>
      </c>
      <c r="M81" s="15" t="inlineStr">
        <is>
          <t>Active</t>
        </is>
      </c>
    </row>
    <row r="82">
      <c r="A82" s="7" t="inlineStr">
        <is>
          <t>ADM-TRV-QTA-2024-2077</t>
        </is>
      </c>
      <c r="B82" s="40" t="n">
        <v>45413</v>
      </c>
      <c r="C82" s="7" t="inlineStr">
        <is>
          <t>Quetta</t>
        </is>
      </c>
      <c r="D82" s="7" t="inlineStr">
        <is>
          <t>South</t>
        </is>
      </c>
      <c r="E82" s="7" t="inlineStr">
        <is>
          <t>Travel</t>
        </is>
      </c>
      <c r="F82" s="7" t="inlineStr">
        <is>
          <t>Direct</t>
        </is>
      </c>
      <c r="G82" s="7" t="inlineStr">
        <is>
          <t>Waqar Younis Khan</t>
        </is>
      </c>
      <c r="H82" s="7" t="inlineStr">
        <is>
          <t>Corporate</t>
        </is>
      </c>
      <c r="I82" s="11" t="n">
        <v>1200000</v>
      </c>
      <c r="J82" s="11" t="n">
        <v>20700</v>
      </c>
      <c r="K82" s="11" t="n">
        <v>4341</v>
      </c>
      <c r="L82" s="11" t="n">
        <v>1</v>
      </c>
      <c r="M82" s="7" t="inlineStr">
        <is>
          <t>Active</t>
        </is>
      </c>
    </row>
    <row r="83">
      <c r="A83" s="15" t="inlineStr">
        <is>
          <t>ADM-MTR-HYD-2024-2078</t>
        </is>
      </c>
      <c r="B83" s="41" t="n">
        <v>45451</v>
      </c>
      <c r="C83" s="15" t="inlineStr">
        <is>
          <t>Hyderabad</t>
        </is>
      </c>
      <c r="D83" s="15" t="inlineStr">
        <is>
          <t>South</t>
        </is>
      </c>
      <c r="E83" s="15" t="inlineStr">
        <is>
          <t>Motor</t>
        </is>
      </c>
      <c r="F83" s="15" t="inlineStr">
        <is>
          <t>Agency</t>
        </is>
      </c>
      <c r="G83" s="15" t="inlineStr">
        <is>
          <t>Amna Zubair</t>
        </is>
      </c>
      <c r="H83" s="15" t="inlineStr">
        <is>
          <t>Corporate</t>
        </is>
      </c>
      <c r="I83" s="14" t="n">
        <v>1200000</v>
      </c>
      <c r="J83" s="14" t="n">
        <v>11300</v>
      </c>
      <c r="K83" s="14" t="n">
        <v>14476</v>
      </c>
      <c r="L83" s="14" t="n">
        <v>1</v>
      </c>
      <c r="M83" s="15" t="inlineStr">
        <is>
          <t>Renewed</t>
        </is>
      </c>
    </row>
    <row r="84">
      <c r="A84" s="7" t="inlineStr">
        <is>
          <t>ADM-HLT-SKT-2024-2079</t>
        </is>
      </c>
      <c r="B84" s="40" t="n">
        <v>45488</v>
      </c>
      <c r="C84" s="7" t="inlineStr">
        <is>
          <t>Sialkot</t>
        </is>
      </c>
      <c r="D84" s="7" t="inlineStr">
        <is>
          <t>Central</t>
        </is>
      </c>
      <c r="E84" s="7" t="inlineStr">
        <is>
          <t>Health</t>
        </is>
      </c>
      <c r="F84" s="7" t="inlineStr">
        <is>
          <t>Bancassurance</t>
        </is>
      </c>
      <c r="G84" s="7" t="inlineStr">
        <is>
          <t>Rizwan Ali Soomro</t>
        </is>
      </c>
      <c r="H84" s="7" t="inlineStr">
        <is>
          <t>Individual</t>
        </is>
      </c>
      <c r="I84" s="11" t="n">
        <v>6800000</v>
      </c>
      <c r="J84" s="11" t="n">
        <v>190700</v>
      </c>
      <c r="K84" s="11" t="n">
        <v>63087</v>
      </c>
      <c r="L84" s="11" t="n">
        <v>1</v>
      </c>
      <c r="M84" s="7" t="inlineStr">
        <is>
          <t>Lapsed</t>
        </is>
      </c>
    </row>
    <row r="85">
      <c r="A85" s="15" t="inlineStr">
        <is>
          <t>ADM-MSC-RWP-2024-2080</t>
        </is>
      </c>
      <c r="B85" s="41" t="n">
        <v>45526</v>
      </c>
      <c r="C85" s="15" t="inlineStr">
        <is>
          <t>Rawalpindi</t>
        </is>
      </c>
      <c r="D85" s="15" t="inlineStr">
        <is>
          <t>North</t>
        </is>
      </c>
      <c r="E85" s="15" t="inlineStr">
        <is>
          <t>Miscellaneous</t>
        </is>
      </c>
      <c r="F85" s="15" t="inlineStr">
        <is>
          <t>Corporate</t>
        </is>
      </c>
      <c r="G85" s="15" t="inlineStr">
        <is>
          <t>Farhan Dar</t>
        </is>
      </c>
      <c r="H85" s="15" t="inlineStr">
        <is>
          <t>Corporate</t>
        </is>
      </c>
      <c r="I85" s="14" t="n">
        <v>3400000</v>
      </c>
      <c r="J85" s="14" t="n">
        <v>48700</v>
      </c>
      <c r="K85" s="14" t="n">
        <v>21523</v>
      </c>
      <c r="L85" s="14" t="n">
        <v>1</v>
      </c>
      <c r="M85" s="15" t="inlineStr">
        <is>
          <t>Cancelled</t>
        </is>
      </c>
    </row>
    <row r="86">
      <c r="A86" s="7" t="inlineStr">
        <is>
          <t>ADM-MAR-KHI-2024-2081</t>
        </is>
      </c>
      <c r="B86" s="40" t="n">
        <v>45536</v>
      </c>
      <c r="C86" s="7" t="inlineStr">
        <is>
          <t>Karachi Main</t>
        </is>
      </c>
      <c r="D86" s="7" t="inlineStr">
        <is>
          <t>South</t>
        </is>
      </c>
      <c r="E86" s="7" t="inlineStr">
        <is>
          <t>Marine Cargo</t>
        </is>
      </c>
      <c r="F86" s="7" t="inlineStr">
        <is>
          <t>Direct</t>
        </is>
      </c>
      <c r="G86" s="7" t="inlineStr">
        <is>
          <t>Sobia Naz</t>
        </is>
      </c>
      <c r="H86" s="7" t="inlineStr">
        <is>
          <t>Corporate</t>
        </is>
      </c>
      <c r="I86" s="11" t="n">
        <v>47000000</v>
      </c>
      <c r="J86" s="11" t="n">
        <v>237300</v>
      </c>
      <c r="K86" s="11" t="n">
        <v>327198</v>
      </c>
      <c r="L86" s="11" t="n">
        <v>1</v>
      </c>
      <c r="M86" s="7" t="inlineStr">
        <is>
          <t>Active</t>
        </is>
      </c>
    </row>
    <row r="87">
      <c r="A87" s="15" t="inlineStr">
        <is>
          <t>ADM-ENG-LHR-2024-2082</t>
        </is>
      </c>
      <c r="B87" s="41" t="n">
        <v>45573</v>
      </c>
      <c r="C87" s="15" t="inlineStr">
        <is>
          <t>Lahore Gulberg</t>
        </is>
      </c>
      <c r="D87" s="15" t="inlineStr">
        <is>
          <t>Central</t>
        </is>
      </c>
      <c r="E87" s="15" t="inlineStr">
        <is>
          <t>Engineering</t>
        </is>
      </c>
      <c r="F87" s="15" t="inlineStr">
        <is>
          <t>Agency</t>
        </is>
      </c>
      <c r="G87" s="15" t="inlineStr">
        <is>
          <t>Junaid Akram</t>
        </is>
      </c>
      <c r="H87" s="15" t="inlineStr">
        <is>
          <t>Individual</t>
        </is>
      </c>
      <c r="I87" s="14" t="n">
        <v>72000000</v>
      </c>
      <c r="J87" s="14" t="n">
        <v>1764300</v>
      </c>
      <c r="K87" s="14" t="n">
        <v>1315665</v>
      </c>
      <c r="L87" s="14" t="n">
        <v>1</v>
      </c>
      <c r="M87" s="15" t="inlineStr">
        <is>
          <t>Active</t>
        </is>
      </c>
    </row>
    <row r="88">
      <c r="A88" s="7" t="inlineStr">
        <is>
          <t>ADM-FIR-ISB-2024-2083</t>
        </is>
      </c>
      <c r="B88" s="40" t="n">
        <v>45611</v>
      </c>
      <c r="C88" s="7" t="inlineStr">
        <is>
          <t>Islamabad Blue Area</t>
        </is>
      </c>
      <c r="D88" s="7" t="inlineStr">
        <is>
          <t>North</t>
        </is>
      </c>
      <c r="E88" s="7" t="inlineStr">
        <is>
          <t>Fire &amp; Property</t>
        </is>
      </c>
      <c r="F88" s="7" t="inlineStr">
        <is>
          <t>Bancassurance</t>
        </is>
      </c>
      <c r="G88" s="7" t="inlineStr">
        <is>
          <t>Hamid Raza</t>
        </is>
      </c>
      <c r="H88" s="7" t="inlineStr">
        <is>
          <t>Corporate</t>
        </is>
      </c>
      <c r="I88" s="11" t="n">
        <v>28000000</v>
      </c>
      <c r="J88" s="11" t="n">
        <v>406100</v>
      </c>
      <c r="K88" s="11" t="n">
        <v>201854</v>
      </c>
      <c r="L88" s="11" t="n">
        <v>1</v>
      </c>
      <c r="M88" s="7" t="inlineStr">
        <is>
          <t>Renewed</t>
        </is>
      </c>
    </row>
    <row r="89">
      <c r="A89" s="15" t="inlineStr">
        <is>
          <t>ADM-TRV-FSD-2024-2084</t>
        </is>
      </c>
      <c r="B89" s="41" t="n">
        <v>45648</v>
      </c>
      <c r="C89" s="15" t="inlineStr">
        <is>
          <t>Faisalabad</t>
        </is>
      </c>
      <c r="D89" s="15" t="inlineStr">
        <is>
          <t>Central</t>
        </is>
      </c>
      <c r="E89" s="15" t="inlineStr">
        <is>
          <t>Travel</t>
        </is>
      </c>
      <c r="F89" s="15" t="inlineStr">
        <is>
          <t>Corporate</t>
        </is>
      </c>
      <c r="G89" s="15" t="inlineStr">
        <is>
          <t>Nimra Saleem</t>
        </is>
      </c>
      <c r="H89" s="15" t="inlineStr">
        <is>
          <t>Corporate</t>
        </is>
      </c>
      <c r="I89" s="14" t="n">
        <v>11500000</v>
      </c>
      <c r="J89" s="14" t="n">
        <v>202500</v>
      </c>
      <c r="K89" s="14" t="n">
        <v>158654</v>
      </c>
      <c r="L89" s="14" t="n">
        <v>1</v>
      </c>
      <c r="M89" s="15" t="inlineStr">
        <is>
          <t>Lapsed</t>
        </is>
      </c>
    </row>
    <row r="90">
      <c r="A90" s="7" t="inlineStr">
        <is>
          <t>ADM-MTR-MUL-2024-2085</t>
        </is>
      </c>
      <c r="B90" s="40" t="n">
        <v>45292</v>
      </c>
      <c r="C90" s="7" t="inlineStr">
        <is>
          <t>Multan</t>
        </is>
      </c>
      <c r="D90" s="7" t="inlineStr">
        <is>
          <t>Central</t>
        </is>
      </c>
      <c r="E90" s="7" t="inlineStr">
        <is>
          <t>Motor</t>
        </is>
      </c>
      <c r="F90" s="7" t="inlineStr">
        <is>
          <t>Direct</t>
        </is>
      </c>
      <c r="G90" s="7" t="inlineStr">
        <is>
          <t>Tariq Jameel</t>
        </is>
      </c>
      <c r="H90" s="7" t="inlineStr">
        <is>
          <t>Individual</t>
        </is>
      </c>
      <c r="I90" s="11" t="n">
        <v>6800000</v>
      </c>
      <c r="J90" s="11" t="n">
        <v>36100</v>
      </c>
      <c r="K90" s="11" t="n">
        <v>50561</v>
      </c>
      <c r="L90" s="11" t="n">
        <v>1</v>
      </c>
      <c r="M90" s="7" t="inlineStr">
        <is>
          <t>Cancelled</t>
        </is>
      </c>
    </row>
    <row r="91">
      <c r="A91" s="15" t="inlineStr">
        <is>
          <t>ADM-HLT-PEW-2024-2086</t>
        </is>
      </c>
      <c r="B91" s="41" t="n">
        <v>45330</v>
      </c>
      <c r="C91" s="15" t="inlineStr">
        <is>
          <t>Peshawar</t>
        </is>
      </c>
      <c r="D91" s="15" t="inlineStr">
        <is>
          <t>North</t>
        </is>
      </c>
      <c r="E91" s="15" t="inlineStr">
        <is>
          <t>Health</t>
        </is>
      </c>
      <c r="F91" s="15" t="inlineStr">
        <is>
          <t>Agency</t>
        </is>
      </c>
      <c r="G91" s="15" t="inlineStr">
        <is>
          <t>Nadia Hassan</t>
        </is>
      </c>
      <c r="H91" s="15" t="inlineStr">
        <is>
          <t>Corporate</t>
        </is>
      </c>
      <c r="I91" s="14" t="n">
        <v>6800000</v>
      </c>
      <c r="J91" s="14" t="n">
        <v>140600</v>
      </c>
      <c r="K91" s="14" t="n">
        <v>238796</v>
      </c>
      <c r="L91" s="14" t="n">
        <v>1</v>
      </c>
      <c r="M91" s="15" t="inlineStr">
        <is>
          <t>Active</t>
        </is>
      </c>
    </row>
    <row r="92">
      <c r="A92" s="7" t="inlineStr">
        <is>
          <t>ADM-MSC-QTA-2024-2087</t>
        </is>
      </c>
      <c r="B92" s="40" t="n">
        <v>45366</v>
      </c>
      <c r="C92" s="7" t="inlineStr">
        <is>
          <t>Quetta</t>
        </is>
      </c>
      <c r="D92" s="7" t="inlineStr">
        <is>
          <t>South</t>
        </is>
      </c>
      <c r="E92" s="7" t="inlineStr">
        <is>
          <t>Miscellaneous</t>
        </is>
      </c>
      <c r="F92" s="7" t="inlineStr">
        <is>
          <t>Bancassurance</t>
        </is>
      </c>
      <c r="G92" s="7" t="inlineStr">
        <is>
          <t>Salman Shah</t>
        </is>
      </c>
      <c r="H92" s="7" t="inlineStr">
        <is>
          <t>Corporate</t>
        </is>
      </c>
      <c r="I92" s="11" t="n">
        <v>19000000</v>
      </c>
      <c r="J92" s="11" t="n">
        <v>350400</v>
      </c>
      <c r="K92" s="11" t="n">
        <v>664530</v>
      </c>
      <c r="L92" s="11" t="n">
        <v>1</v>
      </c>
      <c r="M92" s="7" t="inlineStr">
        <is>
          <t>Active</t>
        </is>
      </c>
    </row>
    <row r="93">
      <c r="A93" s="15" t="inlineStr">
        <is>
          <t>ADM-MAR-HYD-2024-2088</t>
        </is>
      </c>
      <c r="B93" s="41" t="n">
        <v>45404</v>
      </c>
      <c r="C93" s="15" t="inlineStr">
        <is>
          <t>Hyderabad</t>
        </is>
      </c>
      <c r="D93" s="15" t="inlineStr">
        <is>
          <t>South</t>
        </is>
      </c>
      <c r="E93" s="15" t="inlineStr">
        <is>
          <t>Marine Cargo</t>
        </is>
      </c>
      <c r="F93" s="15" t="inlineStr">
        <is>
          <t>Corporate</t>
        </is>
      </c>
      <c r="G93" s="15" t="inlineStr">
        <is>
          <t>Komal Bashir</t>
        </is>
      </c>
      <c r="H93" s="15" t="inlineStr">
        <is>
          <t>Individual</t>
        </is>
      </c>
      <c r="I93" s="14" t="n">
        <v>72000000</v>
      </c>
      <c r="J93" s="14" t="n">
        <v>1685500</v>
      </c>
      <c r="K93" s="14" t="n">
        <v>1657983</v>
      </c>
      <c r="L93" s="14" t="n">
        <v>1</v>
      </c>
      <c r="M93" s="15" t="inlineStr">
        <is>
          <t>Renewed</t>
        </is>
      </c>
    </row>
    <row r="94">
      <c r="A94" s="7" t="inlineStr">
        <is>
          <t>ADM-ENG-SKT-2024-2089</t>
        </is>
      </c>
      <c r="B94" s="40" t="n">
        <v>45413</v>
      </c>
      <c r="C94" s="7" t="inlineStr">
        <is>
          <t>Sialkot</t>
        </is>
      </c>
      <c r="D94" s="7" t="inlineStr">
        <is>
          <t>Central</t>
        </is>
      </c>
      <c r="E94" s="7" t="inlineStr">
        <is>
          <t>Engineering</t>
        </is>
      </c>
      <c r="F94" s="7" t="inlineStr">
        <is>
          <t>Direct</t>
        </is>
      </c>
      <c r="G94" s="7" t="inlineStr">
        <is>
          <t>Waqar Younis Khan</t>
        </is>
      </c>
      <c r="H94" s="7" t="inlineStr">
        <is>
          <t>Corporate</t>
        </is>
      </c>
      <c r="I94" s="11" t="n">
        <v>47000000</v>
      </c>
      <c r="J94" s="11" t="n">
        <v>988500</v>
      </c>
      <c r="K94" s="11" t="n">
        <v>1297814</v>
      </c>
      <c r="L94" s="11" t="n">
        <v>1</v>
      </c>
      <c r="M94" s="7" t="inlineStr">
        <is>
          <t>Lapsed</t>
        </is>
      </c>
    </row>
    <row r="95">
      <c r="A95" s="15" t="inlineStr">
        <is>
          <t>ADM-FIR-RWP-2024-2090</t>
        </is>
      </c>
      <c r="B95" s="41" t="n">
        <v>45451</v>
      </c>
      <c r="C95" s="15" t="inlineStr">
        <is>
          <t>Rawalpindi</t>
        </is>
      </c>
      <c r="D95" s="15" t="inlineStr">
        <is>
          <t>North</t>
        </is>
      </c>
      <c r="E95" s="15" t="inlineStr">
        <is>
          <t>Fire &amp; Property</t>
        </is>
      </c>
      <c r="F95" s="15" t="inlineStr">
        <is>
          <t>Agency</t>
        </is>
      </c>
      <c r="G95" s="15" t="inlineStr">
        <is>
          <t>Amna Zubair</t>
        </is>
      </c>
      <c r="H95" s="15" t="inlineStr">
        <is>
          <t>Corporate</t>
        </is>
      </c>
      <c r="I95" s="14" t="n">
        <v>19000000</v>
      </c>
      <c r="J95" s="14" t="n">
        <v>215900</v>
      </c>
      <c r="K95" s="14" t="n">
        <v>64887</v>
      </c>
      <c r="L95" s="14" t="n">
        <v>1</v>
      </c>
      <c r="M95" s="15" t="inlineStr">
        <is>
          <t>Cancelled</t>
        </is>
      </c>
    </row>
    <row r="96">
      <c r="A96" s="7" t="inlineStr">
        <is>
          <t>ADM-TRV-KHI-2024-2091</t>
        </is>
      </c>
      <c r="B96" s="40" t="n">
        <v>45488</v>
      </c>
      <c r="C96" s="7" t="inlineStr">
        <is>
          <t>Karachi Main</t>
        </is>
      </c>
      <c r="D96" s="7" t="inlineStr">
        <is>
          <t>South</t>
        </is>
      </c>
      <c r="E96" s="7" t="inlineStr">
        <is>
          <t>Travel</t>
        </is>
      </c>
      <c r="F96" s="7" t="inlineStr">
        <is>
          <t>Bancassurance</t>
        </is>
      </c>
      <c r="G96" s="7" t="inlineStr">
        <is>
          <t>Rizwan Ali Soomro</t>
        </is>
      </c>
      <c r="H96" s="7" t="inlineStr">
        <is>
          <t>Individual</t>
        </is>
      </c>
      <c r="I96" s="11" t="n">
        <v>47000000</v>
      </c>
      <c r="J96" s="11" t="n">
        <v>268400</v>
      </c>
      <c r="K96" s="11" t="n">
        <v>149803</v>
      </c>
      <c r="L96" s="11" t="n">
        <v>1</v>
      </c>
      <c r="M96" s="7" t="inlineStr">
        <is>
          <t>Active</t>
        </is>
      </c>
    </row>
    <row r="97">
      <c r="A97" s="15" t="inlineStr">
        <is>
          <t>ADM-MTR-LHR-2024-2092</t>
        </is>
      </c>
      <c r="B97" s="41" t="n">
        <v>45526</v>
      </c>
      <c r="C97" s="15" t="inlineStr">
        <is>
          <t>Lahore Gulberg</t>
        </is>
      </c>
      <c r="D97" s="15" t="inlineStr">
        <is>
          <t>Central</t>
        </is>
      </c>
      <c r="E97" s="15" t="inlineStr">
        <is>
          <t>Motor</t>
        </is>
      </c>
      <c r="F97" s="15" t="inlineStr">
        <is>
          <t>Corporate</t>
        </is>
      </c>
      <c r="G97" s="15" t="inlineStr">
        <is>
          <t>Farhan Dar</t>
        </is>
      </c>
      <c r="H97" s="15" t="inlineStr">
        <is>
          <t>Corporate</t>
        </is>
      </c>
      <c r="I97" s="14" t="n">
        <v>47000000</v>
      </c>
      <c r="J97" s="14" t="n">
        <v>1406900</v>
      </c>
      <c r="K97" s="14" t="n">
        <v>295893</v>
      </c>
      <c r="L97" s="14" t="n">
        <v>1</v>
      </c>
      <c r="M97" s="15" t="inlineStr">
        <is>
          <t>Active</t>
        </is>
      </c>
    </row>
    <row r="98">
      <c r="A98" s="7" t="inlineStr">
        <is>
          <t>ADM-HLT-ISB-2024-2093</t>
        </is>
      </c>
      <c r="B98" s="40" t="n">
        <v>45536</v>
      </c>
      <c r="C98" s="7" t="inlineStr">
        <is>
          <t>Islamabad Blue Area</t>
        </is>
      </c>
      <c r="D98" s="7" t="inlineStr">
        <is>
          <t>North</t>
        </is>
      </c>
      <c r="E98" s="7" t="inlineStr">
        <is>
          <t>Health</t>
        </is>
      </c>
      <c r="F98" s="7" t="inlineStr">
        <is>
          <t>Direct</t>
        </is>
      </c>
      <c r="G98" s="7" t="inlineStr">
        <is>
          <t>Sobia Naz</t>
        </is>
      </c>
      <c r="H98" s="7" t="inlineStr">
        <is>
          <t>Corporate</t>
        </is>
      </c>
      <c r="I98" s="11" t="n">
        <v>19000000</v>
      </c>
      <c r="J98" s="11" t="n">
        <v>321300</v>
      </c>
      <c r="K98" s="11" t="n">
        <v>26393</v>
      </c>
      <c r="L98" s="11" t="n">
        <v>1</v>
      </c>
      <c r="M98" s="7" t="inlineStr">
        <is>
          <t>Renewed</t>
        </is>
      </c>
    </row>
    <row r="99">
      <c r="A99" s="15" t="inlineStr">
        <is>
          <t>ADM-MSC-FSD-2024-2094</t>
        </is>
      </c>
      <c r="B99" s="41" t="n">
        <v>45573</v>
      </c>
      <c r="C99" s="15" t="inlineStr">
        <is>
          <t>Faisalabad</t>
        </is>
      </c>
      <c r="D99" s="15" t="inlineStr">
        <is>
          <t>Central</t>
        </is>
      </c>
      <c r="E99" s="15" t="inlineStr">
        <is>
          <t>Miscellaneous</t>
        </is>
      </c>
      <c r="F99" s="15" t="inlineStr">
        <is>
          <t>Agency</t>
        </is>
      </c>
      <c r="G99" s="15" t="inlineStr">
        <is>
          <t>Junaid Akram</t>
        </is>
      </c>
      <c r="H99" s="15" t="inlineStr">
        <is>
          <t>Individual</t>
        </is>
      </c>
      <c r="I99" s="14" t="n">
        <v>47000000</v>
      </c>
      <c r="J99" s="14" t="n">
        <v>941400</v>
      </c>
      <c r="K99" s="14" t="n">
        <v>1091541</v>
      </c>
      <c r="L99" s="14" t="n">
        <v>1</v>
      </c>
      <c r="M99" s="15" t="inlineStr">
        <is>
          <t>Lapsed</t>
        </is>
      </c>
    </row>
    <row r="100">
      <c r="A100" s="7" t="inlineStr">
        <is>
          <t>ADM-MAR-MUL-2024-2095</t>
        </is>
      </c>
      <c r="B100" s="40" t="n">
        <v>45611</v>
      </c>
      <c r="C100" s="7" t="inlineStr">
        <is>
          <t>Multan</t>
        </is>
      </c>
      <c r="D100" s="7" t="inlineStr">
        <is>
          <t>Central</t>
        </is>
      </c>
      <c r="E100" s="7" t="inlineStr">
        <is>
          <t>Marine Cargo</t>
        </is>
      </c>
      <c r="F100" s="7" t="inlineStr">
        <is>
          <t>Bancassurance</t>
        </is>
      </c>
      <c r="G100" s="7" t="inlineStr">
        <is>
          <t>Hamid Raza</t>
        </is>
      </c>
      <c r="H100" s="7" t="inlineStr">
        <is>
          <t>Corporate</t>
        </is>
      </c>
      <c r="I100" s="11" t="n">
        <v>28000000</v>
      </c>
      <c r="J100" s="11" t="n">
        <v>839200</v>
      </c>
      <c r="K100" s="11" t="n">
        <v>226378</v>
      </c>
      <c r="L100" s="11" t="n">
        <v>1</v>
      </c>
      <c r="M100" s="7" t="inlineStr">
        <is>
          <t>Cancelled</t>
        </is>
      </c>
    </row>
    <row r="101">
      <c r="A101" s="15" t="inlineStr">
        <is>
          <t>ADM-ENG-PEW-2024-2096</t>
        </is>
      </c>
      <c r="B101" s="41" t="n">
        <v>45648</v>
      </c>
      <c r="C101" s="15" t="inlineStr">
        <is>
          <t>Peshawar</t>
        </is>
      </c>
      <c r="D101" s="15" t="inlineStr">
        <is>
          <t>North</t>
        </is>
      </c>
      <c r="E101" s="15" t="inlineStr">
        <is>
          <t>Engineering</t>
        </is>
      </c>
      <c r="F101" s="15" t="inlineStr">
        <is>
          <t>Corporate</t>
        </is>
      </c>
      <c r="G101" s="15" t="inlineStr">
        <is>
          <t>Nimra Saleem</t>
        </is>
      </c>
      <c r="H101" s="15" t="inlineStr">
        <is>
          <t>Corporate</t>
        </is>
      </c>
      <c r="I101" s="14" t="n">
        <v>19000000</v>
      </c>
      <c r="J101" s="14" t="n">
        <v>542800</v>
      </c>
      <c r="K101" s="14" t="n">
        <v>248383</v>
      </c>
      <c r="L101" s="14" t="n">
        <v>1</v>
      </c>
      <c r="M101" s="15" t="inlineStr">
        <is>
          <t>Active</t>
        </is>
      </c>
    </row>
    <row r="102">
      <c r="A102" s="7" t="inlineStr">
        <is>
          <t>ADM-FIR-QTA-2024-2097</t>
        </is>
      </c>
      <c r="B102" s="40" t="n">
        <v>45292</v>
      </c>
      <c r="C102" s="7" t="inlineStr">
        <is>
          <t>Quetta</t>
        </is>
      </c>
      <c r="D102" s="7" t="inlineStr">
        <is>
          <t>South</t>
        </is>
      </c>
      <c r="E102" s="7" t="inlineStr">
        <is>
          <t>Fire &amp; Property</t>
        </is>
      </c>
      <c r="F102" s="7" t="inlineStr">
        <is>
          <t>Direct</t>
        </is>
      </c>
      <c r="G102" s="7" t="inlineStr">
        <is>
          <t>Tariq Jameel</t>
        </is>
      </c>
      <c r="H102" s="7" t="inlineStr">
        <is>
          <t>Individual</t>
        </is>
      </c>
      <c r="I102" s="11" t="n">
        <v>1200000</v>
      </c>
      <c r="J102" s="11" t="n">
        <v>16300</v>
      </c>
      <c r="K102" s="11" t="n">
        <v>28348</v>
      </c>
      <c r="L102" s="11" t="n">
        <v>1</v>
      </c>
      <c r="M102" s="7" t="inlineStr">
        <is>
          <t>Active</t>
        </is>
      </c>
    </row>
    <row r="103">
      <c r="A103" s="15" t="inlineStr">
        <is>
          <t>ADM-TRV-HYD-2024-2098</t>
        </is>
      </c>
      <c r="B103" s="41" t="n">
        <v>45330</v>
      </c>
      <c r="C103" s="15" t="inlineStr">
        <is>
          <t>Hyderabad</t>
        </is>
      </c>
      <c r="D103" s="15" t="inlineStr">
        <is>
          <t>South</t>
        </is>
      </c>
      <c r="E103" s="15" t="inlineStr">
        <is>
          <t>Travel</t>
        </is>
      </c>
      <c r="F103" s="15" t="inlineStr">
        <is>
          <t>Agency</t>
        </is>
      </c>
      <c r="G103" s="15" t="inlineStr">
        <is>
          <t>Nadia Hassan</t>
        </is>
      </c>
      <c r="H103" s="15" t="inlineStr">
        <is>
          <t>Corporate</t>
        </is>
      </c>
      <c r="I103" s="14" t="n">
        <v>28000000</v>
      </c>
      <c r="J103" s="14" t="n">
        <v>753600</v>
      </c>
      <c r="K103" s="14" t="n">
        <v>624051</v>
      </c>
      <c r="L103" s="14" t="n">
        <v>1</v>
      </c>
      <c r="M103" s="15" t="inlineStr">
        <is>
          <t>Renewed</t>
        </is>
      </c>
    </row>
    <row r="104">
      <c r="A104" s="7" t="inlineStr">
        <is>
          <t>ADM-MTR-SKT-2024-2099</t>
        </is>
      </c>
      <c r="B104" s="40" t="n">
        <v>45366</v>
      </c>
      <c r="C104" s="7" t="inlineStr">
        <is>
          <t>Sialkot</t>
        </is>
      </c>
      <c r="D104" s="7" t="inlineStr">
        <is>
          <t>Central</t>
        </is>
      </c>
      <c r="E104" s="7" t="inlineStr">
        <is>
          <t>Motor</t>
        </is>
      </c>
      <c r="F104" s="7" t="inlineStr">
        <is>
          <t>Bancassurance</t>
        </is>
      </c>
      <c r="G104" s="7" t="inlineStr">
        <is>
          <t>Salman Shah</t>
        </is>
      </c>
      <c r="H104" s="7" t="inlineStr">
        <is>
          <t>Corporate</t>
        </is>
      </c>
      <c r="I104" s="11" t="n">
        <v>28000000</v>
      </c>
      <c r="J104" s="11" t="n">
        <v>858000</v>
      </c>
      <c r="K104" s="11" t="n">
        <v>710027</v>
      </c>
      <c r="L104" s="11" t="n">
        <v>1</v>
      </c>
      <c r="M104" s="7" t="inlineStr">
        <is>
          <t>Lapsed</t>
        </is>
      </c>
    </row>
    <row r="105">
      <c r="A105" s="15" t="inlineStr">
        <is>
          <t>ADM-HLT-RWP-2024-2100</t>
        </is>
      </c>
      <c r="B105" s="41" t="n">
        <v>45404</v>
      </c>
      <c r="C105" s="15" t="inlineStr">
        <is>
          <t>Rawalpindi</t>
        </is>
      </c>
      <c r="D105" s="15" t="inlineStr">
        <is>
          <t>North</t>
        </is>
      </c>
      <c r="E105" s="15" t="inlineStr">
        <is>
          <t>Health</t>
        </is>
      </c>
      <c r="F105" s="15" t="inlineStr">
        <is>
          <t>Corporate</t>
        </is>
      </c>
      <c r="G105" s="15" t="inlineStr">
        <is>
          <t>Komal Bashir</t>
        </is>
      </c>
      <c r="H105" s="15" t="inlineStr">
        <is>
          <t>Individual</t>
        </is>
      </c>
      <c r="I105" s="14" t="n">
        <v>47000000</v>
      </c>
      <c r="J105" s="14" t="n">
        <v>701000</v>
      </c>
      <c r="K105" s="14" t="n">
        <v>1038676</v>
      </c>
      <c r="L105" s="14" t="n">
        <v>1</v>
      </c>
      <c r="M105" s="15" t="inlineStr">
        <is>
          <t>Cancelled</t>
        </is>
      </c>
    </row>
    <row r="106">
      <c r="A106" s="7" t="inlineStr">
        <is>
          <t>ADM-MSC-KHI-2024-2101</t>
        </is>
      </c>
      <c r="B106" s="40" t="n">
        <v>45413</v>
      </c>
      <c r="C106" s="7" t="inlineStr">
        <is>
          <t>Karachi Main</t>
        </is>
      </c>
      <c r="D106" s="7" t="inlineStr">
        <is>
          <t>South</t>
        </is>
      </c>
      <c r="E106" s="7" t="inlineStr">
        <is>
          <t>Miscellaneous</t>
        </is>
      </c>
      <c r="F106" s="7" t="inlineStr">
        <is>
          <t>Direct</t>
        </is>
      </c>
      <c r="G106" s="7" t="inlineStr">
        <is>
          <t>Waqar Younis Khan</t>
        </is>
      </c>
      <c r="H106" s="7" t="inlineStr">
        <is>
          <t>Corporate</t>
        </is>
      </c>
      <c r="I106" s="11" t="n">
        <v>28000000</v>
      </c>
      <c r="J106" s="11" t="n">
        <v>801300</v>
      </c>
      <c r="K106" s="11" t="n">
        <v>179274</v>
      </c>
      <c r="L106" s="11" t="n">
        <v>1</v>
      </c>
      <c r="M106" s="7" t="inlineStr">
        <is>
          <t>Active</t>
        </is>
      </c>
    </row>
    <row r="107">
      <c r="A107" s="15" t="inlineStr">
        <is>
          <t>ADM-MAR-LHR-2024-2102</t>
        </is>
      </c>
      <c r="B107" s="41" t="n">
        <v>45451</v>
      </c>
      <c r="C107" s="15" t="inlineStr">
        <is>
          <t>Lahore Gulberg</t>
        </is>
      </c>
      <c r="D107" s="15" t="inlineStr">
        <is>
          <t>Central</t>
        </is>
      </c>
      <c r="E107" s="15" t="inlineStr">
        <is>
          <t>Marine Cargo</t>
        </is>
      </c>
      <c r="F107" s="15" t="inlineStr">
        <is>
          <t>Agency</t>
        </is>
      </c>
      <c r="G107" s="15" t="inlineStr">
        <is>
          <t>Amna Zubair</t>
        </is>
      </c>
      <c r="H107" s="15" t="inlineStr">
        <is>
          <t>Corporate</t>
        </is>
      </c>
      <c r="I107" s="14" t="n">
        <v>47000000</v>
      </c>
      <c r="J107" s="14" t="n">
        <v>496500</v>
      </c>
      <c r="K107" s="14" t="n">
        <v>654105</v>
      </c>
      <c r="L107" s="14" t="n">
        <v>1</v>
      </c>
      <c r="M107" s="15" t="inlineStr">
        <is>
          <t>Active</t>
        </is>
      </c>
    </row>
    <row r="108">
      <c r="A108" s="7" t="inlineStr">
        <is>
          <t>ADM-ENG-ISB-2024-2103</t>
        </is>
      </c>
      <c r="B108" s="40" t="n">
        <v>45488</v>
      </c>
      <c r="C108" s="7" t="inlineStr">
        <is>
          <t>Islamabad Blue Area</t>
        </is>
      </c>
      <c r="D108" s="7" t="inlineStr">
        <is>
          <t>North</t>
        </is>
      </c>
      <c r="E108" s="7" t="inlineStr">
        <is>
          <t>Engineering</t>
        </is>
      </c>
      <c r="F108" s="7" t="inlineStr">
        <is>
          <t>Bancassurance</t>
        </is>
      </c>
      <c r="G108" s="7" t="inlineStr">
        <is>
          <t>Rizwan Ali Soomro</t>
        </is>
      </c>
      <c r="H108" s="7" t="inlineStr">
        <is>
          <t>Individual</t>
        </is>
      </c>
      <c r="I108" s="11" t="n">
        <v>28000000</v>
      </c>
      <c r="J108" s="11" t="n">
        <v>277500</v>
      </c>
      <c r="K108" s="11" t="n">
        <v>119888</v>
      </c>
      <c r="L108" s="11" t="n">
        <v>1</v>
      </c>
      <c r="M108" s="7" t="inlineStr">
        <is>
          <t>Renewed</t>
        </is>
      </c>
    </row>
    <row r="109">
      <c r="A109" s="15" t="inlineStr">
        <is>
          <t>ADM-FIR-FSD-2024-2104</t>
        </is>
      </c>
      <c r="B109" s="41" t="n">
        <v>45526</v>
      </c>
      <c r="C109" s="15" t="inlineStr">
        <is>
          <t>Faisalabad</t>
        </is>
      </c>
      <c r="D109" s="15" t="inlineStr">
        <is>
          <t>Central</t>
        </is>
      </c>
      <c r="E109" s="15" t="inlineStr">
        <is>
          <t>Fire &amp; Property</t>
        </is>
      </c>
      <c r="F109" s="15" t="inlineStr">
        <is>
          <t>Corporate</t>
        </is>
      </c>
      <c r="G109" s="15" t="inlineStr">
        <is>
          <t>Farhan Dar</t>
        </is>
      </c>
      <c r="H109" s="15" t="inlineStr">
        <is>
          <t>Corporate</t>
        </is>
      </c>
      <c r="I109" s="14" t="n">
        <v>28000000</v>
      </c>
      <c r="J109" s="14" t="n">
        <v>407700</v>
      </c>
      <c r="K109" s="14" t="n">
        <v>165841</v>
      </c>
      <c r="L109" s="14" t="n">
        <v>1</v>
      </c>
      <c r="M109" s="15" t="inlineStr">
        <is>
          <t>Lapsed</t>
        </is>
      </c>
    </row>
    <row r="110">
      <c r="A110" s="7" t="inlineStr">
        <is>
          <t>ADM-TRV-MUL-2024-2105</t>
        </is>
      </c>
      <c r="B110" s="40" t="n">
        <v>45536</v>
      </c>
      <c r="C110" s="7" t="inlineStr">
        <is>
          <t>Multan</t>
        </is>
      </c>
      <c r="D110" s="7" t="inlineStr">
        <is>
          <t>Central</t>
        </is>
      </c>
      <c r="E110" s="7" t="inlineStr">
        <is>
          <t>Travel</t>
        </is>
      </c>
      <c r="F110" s="7" t="inlineStr">
        <is>
          <t>Direct</t>
        </is>
      </c>
      <c r="G110" s="7" t="inlineStr">
        <is>
          <t>Sobia Naz</t>
        </is>
      </c>
      <c r="H110" s="7" t="inlineStr">
        <is>
          <t>Corporate</t>
        </is>
      </c>
      <c r="I110" s="11" t="n">
        <v>6800000</v>
      </c>
      <c r="J110" s="11" t="n">
        <v>165000</v>
      </c>
      <c r="K110" s="11" t="n">
        <v>287159</v>
      </c>
      <c r="L110" s="11" t="n">
        <v>1</v>
      </c>
      <c r="M110" s="7" t="inlineStr">
        <is>
          <t>Cancelled</t>
        </is>
      </c>
    </row>
    <row r="111">
      <c r="A111" s="15" t="inlineStr">
        <is>
          <t>ADM-MTR-PEW-2024-2106</t>
        </is>
      </c>
      <c r="B111" s="41" t="n">
        <v>45573</v>
      </c>
      <c r="C111" s="15" t="inlineStr">
        <is>
          <t>Peshawar</t>
        </is>
      </c>
      <c r="D111" s="15" t="inlineStr">
        <is>
          <t>North</t>
        </is>
      </c>
      <c r="E111" s="15" t="inlineStr">
        <is>
          <t>Motor</t>
        </is>
      </c>
      <c r="F111" s="15" t="inlineStr">
        <is>
          <t>Agency</t>
        </is>
      </c>
      <c r="G111" s="15" t="inlineStr">
        <is>
          <t>Junaid Akram</t>
        </is>
      </c>
      <c r="H111" s="15" t="inlineStr">
        <is>
          <t>Individual</t>
        </is>
      </c>
      <c r="I111" s="14" t="n">
        <v>11500000</v>
      </c>
      <c r="J111" s="14" t="n">
        <v>164500</v>
      </c>
      <c r="K111" s="14" t="n">
        <v>116615</v>
      </c>
      <c r="L111" s="14" t="n">
        <v>1</v>
      </c>
      <c r="M111" s="15" t="inlineStr">
        <is>
          <t>Active</t>
        </is>
      </c>
    </row>
    <row r="112">
      <c r="A112" s="7" t="inlineStr">
        <is>
          <t>ADM-HLT-QTA-2024-2107</t>
        </is>
      </c>
      <c r="B112" s="40" t="n">
        <v>45611</v>
      </c>
      <c r="C112" s="7" t="inlineStr">
        <is>
          <t>Quetta</t>
        </is>
      </c>
      <c r="D112" s="7" t="inlineStr">
        <is>
          <t>South</t>
        </is>
      </c>
      <c r="E112" s="7" t="inlineStr">
        <is>
          <t>Health</t>
        </is>
      </c>
      <c r="F112" s="7" t="inlineStr">
        <is>
          <t>Bancassurance</t>
        </is>
      </c>
      <c r="G112" s="7" t="inlineStr">
        <is>
          <t>Hamid Raza</t>
        </is>
      </c>
      <c r="H112" s="7" t="inlineStr">
        <is>
          <t>Corporate</t>
        </is>
      </c>
      <c r="I112" s="11" t="n">
        <v>1200000</v>
      </c>
      <c r="J112" s="11" t="n">
        <v>20400</v>
      </c>
      <c r="K112" s="11" t="n">
        <v>38497</v>
      </c>
      <c r="L112" s="11" t="n">
        <v>1</v>
      </c>
      <c r="M112" s="7" t="inlineStr">
        <is>
          <t>Active</t>
        </is>
      </c>
    </row>
    <row r="113">
      <c r="A113" s="15" t="inlineStr">
        <is>
          <t>ADM-MSC-HYD-2024-2108</t>
        </is>
      </c>
      <c r="B113" s="41" t="n">
        <v>45648</v>
      </c>
      <c r="C113" s="15" t="inlineStr">
        <is>
          <t>Hyderabad</t>
        </is>
      </c>
      <c r="D113" s="15" t="inlineStr">
        <is>
          <t>South</t>
        </is>
      </c>
      <c r="E113" s="15" t="inlineStr">
        <is>
          <t>Miscellaneous</t>
        </is>
      </c>
      <c r="F113" s="15" t="inlineStr">
        <is>
          <t>Corporate</t>
        </is>
      </c>
      <c r="G113" s="15" t="inlineStr">
        <is>
          <t>Nimra Saleem</t>
        </is>
      </c>
      <c r="H113" s="15" t="inlineStr">
        <is>
          <t>Corporate</t>
        </is>
      </c>
      <c r="I113" s="14" t="n">
        <v>28000000</v>
      </c>
      <c r="J113" s="14" t="n">
        <v>283000</v>
      </c>
      <c r="K113" s="14" t="n">
        <v>228763</v>
      </c>
      <c r="L113" s="14" t="n">
        <v>1</v>
      </c>
      <c r="M113" s="15" t="inlineStr">
        <is>
          <t>Renewed</t>
        </is>
      </c>
    </row>
    <row r="114">
      <c r="A114" s="7" t="inlineStr">
        <is>
          <t>ADM-MAR-SKT-2024-2109</t>
        </is>
      </c>
      <c r="B114" s="40" t="n">
        <v>45292</v>
      </c>
      <c r="C114" s="7" t="inlineStr">
        <is>
          <t>Sialkot</t>
        </is>
      </c>
      <c r="D114" s="7" t="inlineStr">
        <is>
          <t>Central</t>
        </is>
      </c>
      <c r="E114" s="7" t="inlineStr">
        <is>
          <t>Marine Cargo</t>
        </is>
      </c>
      <c r="F114" s="7" t="inlineStr">
        <is>
          <t>Direct</t>
        </is>
      </c>
      <c r="G114" s="7" t="inlineStr">
        <is>
          <t>Tariq Jameel</t>
        </is>
      </c>
      <c r="H114" s="7" t="inlineStr">
        <is>
          <t>Individual</t>
        </is>
      </c>
      <c r="I114" s="11" t="n">
        <v>28000000</v>
      </c>
      <c r="J114" s="11" t="n">
        <v>167600</v>
      </c>
      <c r="K114" s="11" t="n">
        <v>156514</v>
      </c>
      <c r="L114" s="11" t="n">
        <v>1</v>
      </c>
      <c r="M114" s="7" t="inlineStr">
        <is>
          <t>Lapsed</t>
        </is>
      </c>
    </row>
    <row r="115">
      <c r="A115" s="15" t="inlineStr">
        <is>
          <t>ADM-ENG-RWP-2024-2110</t>
        </is>
      </c>
      <c r="B115" s="41" t="n">
        <v>45330</v>
      </c>
      <c r="C115" s="15" t="inlineStr">
        <is>
          <t>Rawalpindi</t>
        </is>
      </c>
      <c r="D115" s="15" t="inlineStr">
        <is>
          <t>North</t>
        </is>
      </c>
      <c r="E115" s="15" t="inlineStr">
        <is>
          <t>Engineering</t>
        </is>
      </c>
      <c r="F115" s="15" t="inlineStr">
        <is>
          <t>Agency</t>
        </is>
      </c>
      <c r="G115" s="15" t="inlineStr">
        <is>
          <t>Nadia Hassan</t>
        </is>
      </c>
      <c r="H115" s="15" t="inlineStr">
        <is>
          <t>Corporate</t>
        </is>
      </c>
      <c r="I115" s="14" t="n">
        <v>72000000</v>
      </c>
      <c r="J115" s="14" t="n">
        <v>1093900</v>
      </c>
      <c r="K115" s="14" t="n">
        <v>310278</v>
      </c>
      <c r="L115" s="14" t="n">
        <v>1</v>
      </c>
      <c r="M115" s="15" t="inlineStr">
        <is>
          <t>Cancelled</t>
        </is>
      </c>
    </row>
    <row r="116">
      <c r="A116" s="7" t="inlineStr">
        <is>
          <t>ADM-FIR-KHI-2024-2111</t>
        </is>
      </c>
      <c r="B116" s="40" t="n">
        <v>45366</v>
      </c>
      <c r="C116" s="7" t="inlineStr">
        <is>
          <t>Karachi Main</t>
        </is>
      </c>
      <c r="D116" s="7" t="inlineStr">
        <is>
          <t>South</t>
        </is>
      </c>
      <c r="E116" s="7" t="inlineStr">
        <is>
          <t>Fire &amp; Property</t>
        </is>
      </c>
      <c r="F116" s="7" t="inlineStr">
        <is>
          <t>Bancassurance</t>
        </is>
      </c>
      <c r="G116" s="7" t="inlineStr">
        <is>
          <t>Salman Shah</t>
        </is>
      </c>
      <c r="H116" s="7" t="inlineStr">
        <is>
          <t>Corporate</t>
        </is>
      </c>
      <c r="I116" s="11" t="n">
        <v>11500000</v>
      </c>
      <c r="J116" s="11" t="n">
        <v>355200</v>
      </c>
      <c r="K116" s="11" t="n">
        <v>7123</v>
      </c>
      <c r="L116" s="11" t="n">
        <v>1</v>
      </c>
      <c r="M116" s="7" t="inlineStr">
        <is>
          <t>Active</t>
        </is>
      </c>
    </row>
    <row r="117">
      <c r="A117" s="15" t="inlineStr">
        <is>
          <t>ADM-TRV-LHR-2024-2112</t>
        </is>
      </c>
      <c r="B117" s="41" t="n">
        <v>45404</v>
      </c>
      <c r="C117" s="15" t="inlineStr">
        <is>
          <t>Lahore Gulberg</t>
        </is>
      </c>
      <c r="D117" s="15" t="inlineStr">
        <is>
          <t>Central</t>
        </is>
      </c>
      <c r="E117" s="15" t="inlineStr">
        <is>
          <t>Travel</t>
        </is>
      </c>
      <c r="F117" s="15" t="inlineStr">
        <is>
          <t>Corporate</t>
        </is>
      </c>
      <c r="G117" s="15" t="inlineStr">
        <is>
          <t>Komal Bashir</t>
        </is>
      </c>
      <c r="H117" s="15" t="inlineStr">
        <is>
          <t>Individual</t>
        </is>
      </c>
      <c r="I117" s="14" t="n">
        <v>28000000</v>
      </c>
      <c r="J117" s="14" t="n">
        <v>555900</v>
      </c>
      <c r="K117" s="14" t="n">
        <v>328413</v>
      </c>
      <c r="L117" s="14" t="n">
        <v>1</v>
      </c>
      <c r="M117" s="15" t="inlineStr">
        <is>
          <t>Active</t>
        </is>
      </c>
    </row>
    <row r="118">
      <c r="A118" s="7" t="inlineStr">
        <is>
          <t>ADM-MTR-ISB-2024-2113</t>
        </is>
      </c>
      <c r="B118" s="40" t="n">
        <v>45413</v>
      </c>
      <c r="C118" s="7" t="inlineStr">
        <is>
          <t>Islamabad Blue Area</t>
        </is>
      </c>
      <c r="D118" s="7" t="inlineStr">
        <is>
          <t>North</t>
        </is>
      </c>
      <c r="E118" s="7" t="inlineStr">
        <is>
          <t>Motor</t>
        </is>
      </c>
      <c r="F118" s="7" t="inlineStr">
        <is>
          <t>Direct</t>
        </is>
      </c>
      <c r="G118" s="7" t="inlineStr">
        <is>
          <t>Waqar Younis Khan</t>
        </is>
      </c>
      <c r="H118" s="7" t="inlineStr">
        <is>
          <t>Corporate</t>
        </is>
      </c>
      <c r="I118" s="11" t="n">
        <v>28000000</v>
      </c>
      <c r="J118" s="11" t="n">
        <v>770600</v>
      </c>
      <c r="K118" s="11" t="n">
        <v>429829</v>
      </c>
      <c r="L118" s="11" t="n">
        <v>1</v>
      </c>
      <c r="M118" s="7" t="inlineStr">
        <is>
          <t>Renewed</t>
        </is>
      </c>
    </row>
    <row r="119">
      <c r="A119" s="15" t="inlineStr">
        <is>
          <t>ADM-HLT-FSD-2024-2114</t>
        </is>
      </c>
      <c r="B119" s="41" t="n">
        <v>45451</v>
      </c>
      <c r="C119" s="15" t="inlineStr">
        <is>
          <t>Faisalabad</t>
        </is>
      </c>
      <c r="D119" s="15" t="inlineStr">
        <is>
          <t>Central</t>
        </is>
      </c>
      <c r="E119" s="15" t="inlineStr">
        <is>
          <t>Health</t>
        </is>
      </c>
      <c r="F119" s="15" t="inlineStr">
        <is>
          <t>Agency</t>
        </is>
      </c>
      <c r="G119" s="15" t="inlineStr">
        <is>
          <t>Amna Zubair</t>
        </is>
      </c>
      <c r="H119" s="15" t="inlineStr">
        <is>
          <t>Corporate</t>
        </is>
      </c>
      <c r="I119" s="14" t="n">
        <v>19000000</v>
      </c>
      <c r="J119" s="14" t="n">
        <v>179600</v>
      </c>
      <c r="K119" s="14" t="n">
        <v>109197</v>
      </c>
      <c r="L119" s="14" t="n">
        <v>1</v>
      </c>
      <c r="M119" s="15" t="inlineStr">
        <is>
          <t>Lapsed</t>
        </is>
      </c>
    </row>
    <row r="120">
      <c r="A120" s="7" t="inlineStr">
        <is>
          <t>ADM-MSC-MUL-2024-2115</t>
        </is>
      </c>
      <c r="B120" s="40" t="n">
        <v>45488</v>
      </c>
      <c r="C120" s="7" t="inlineStr">
        <is>
          <t>Multan</t>
        </is>
      </c>
      <c r="D120" s="7" t="inlineStr">
        <is>
          <t>Central</t>
        </is>
      </c>
      <c r="E120" s="7" t="inlineStr">
        <is>
          <t>Miscellaneous</t>
        </is>
      </c>
      <c r="F120" s="7" t="inlineStr">
        <is>
          <t>Bancassurance</t>
        </is>
      </c>
      <c r="G120" s="7" t="inlineStr">
        <is>
          <t>Rizwan Ali Soomro</t>
        </is>
      </c>
      <c r="H120" s="7" t="inlineStr">
        <is>
          <t>Individual</t>
        </is>
      </c>
      <c r="I120" s="11" t="n">
        <v>11500000</v>
      </c>
      <c r="J120" s="11" t="n">
        <v>268100</v>
      </c>
      <c r="K120" s="11" t="n">
        <v>402308</v>
      </c>
      <c r="L120" s="11" t="n">
        <v>1</v>
      </c>
      <c r="M120" s="7" t="inlineStr">
        <is>
          <t>Cancelled</t>
        </is>
      </c>
    </row>
    <row r="121">
      <c r="A121" s="15" t="inlineStr">
        <is>
          <t>ADM-MAR-PEW-2024-2116</t>
        </is>
      </c>
      <c r="B121" s="41" t="n">
        <v>45526</v>
      </c>
      <c r="C121" s="15" t="inlineStr">
        <is>
          <t>Peshawar</t>
        </is>
      </c>
      <c r="D121" s="15" t="inlineStr">
        <is>
          <t>North</t>
        </is>
      </c>
      <c r="E121" s="15" t="inlineStr">
        <is>
          <t>Marine Cargo</t>
        </is>
      </c>
      <c r="F121" s="15" t="inlineStr">
        <is>
          <t>Corporate</t>
        </is>
      </c>
      <c r="G121" s="15" t="inlineStr">
        <is>
          <t>Farhan Dar</t>
        </is>
      </c>
      <c r="H121" s="15" t="inlineStr">
        <is>
          <t>Corporate</t>
        </is>
      </c>
      <c r="I121" s="14" t="n">
        <v>6800000</v>
      </c>
      <c r="J121" s="14" t="n">
        <v>192200</v>
      </c>
      <c r="K121" s="14" t="n">
        <v>237922</v>
      </c>
      <c r="L121" s="14" t="n">
        <v>1</v>
      </c>
      <c r="M121" s="15" t="inlineStr">
        <is>
          <t>Active</t>
        </is>
      </c>
    </row>
    <row r="122">
      <c r="A122" s="7" t="inlineStr">
        <is>
          <t>ADM-ENG-QTA-2024-2117</t>
        </is>
      </c>
      <c r="B122" s="40" t="n">
        <v>45536</v>
      </c>
      <c r="C122" s="7" t="inlineStr">
        <is>
          <t>Quetta</t>
        </is>
      </c>
      <c r="D122" s="7" t="inlineStr">
        <is>
          <t>South</t>
        </is>
      </c>
      <c r="E122" s="7" t="inlineStr">
        <is>
          <t>Engineering</t>
        </is>
      </c>
      <c r="F122" s="7" t="inlineStr">
        <is>
          <t>Direct</t>
        </is>
      </c>
      <c r="G122" s="7" t="inlineStr">
        <is>
          <t>Sobia Naz</t>
        </is>
      </c>
      <c r="H122" s="7" t="inlineStr">
        <is>
          <t>Corporate</t>
        </is>
      </c>
      <c r="I122" s="11" t="n">
        <v>1200000</v>
      </c>
      <c r="J122" s="11" t="n">
        <v>8500</v>
      </c>
      <c r="K122" s="11" t="n">
        <v>1655</v>
      </c>
      <c r="L122" s="11" t="n">
        <v>1</v>
      </c>
      <c r="M122" s="7" t="inlineStr">
        <is>
          <t>Active</t>
        </is>
      </c>
    </row>
    <row r="123">
      <c r="A123" s="15" t="inlineStr">
        <is>
          <t>ADM-FIR-HYD-2024-2118</t>
        </is>
      </c>
      <c r="B123" s="41" t="n">
        <v>45573</v>
      </c>
      <c r="C123" s="15" t="inlineStr">
        <is>
          <t>Hyderabad</t>
        </is>
      </c>
      <c r="D123" s="15" t="inlineStr">
        <is>
          <t>South</t>
        </is>
      </c>
      <c r="E123" s="15" t="inlineStr">
        <is>
          <t>Fire &amp; Property</t>
        </is>
      </c>
      <c r="F123" s="15" t="inlineStr">
        <is>
          <t>Agency</t>
        </is>
      </c>
      <c r="G123" s="15" t="inlineStr">
        <is>
          <t>Junaid Akram</t>
        </is>
      </c>
      <c r="H123" s="15" t="inlineStr">
        <is>
          <t>Individual</t>
        </is>
      </c>
      <c r="I123" s="14" t="n">
        <v>3400000</v>
      </c>
      <c r="J123" s="14" t="n">
        <v>49100</v>
      </c>
      <c r="K123" s="14" t="n">
        <v>31206</v>
      </c>
      <c r="L123" s="14" t="n">
        <v>1</v>
      </c>
      <c r="M123" s="15" t="inlineStr">
        <is>
          <t>Renewed</t>
        </is>
      </c>
    </row>
    <row r="124">
      <c r="A124" s="7" t="inlineStr">
        <is>
          <t>ADM-TRV-SKT-2024-2119</t>
        </is>
      </c>
      <c r="B124" s="40" t="n">
        <v>45611</v>
      </c>
      <c r="C124" s="7" t="inlineStr">
        <is>
          <t>Sialkot</t>
        </is>
      </c>
      <c r="D124" s="7" t="inlineStr">
        <is>
          <t>Central</t>
        </is>
      </c>
      <c r="E124" s="7" t="inlineStr">
        <is>
          <t>Travel</t>
        </is>
      </c>
      <c r="F124" s="7" t="inlineStr">
        <is>
          <t>Bancassurance</t>
        </is>
      </c>
      <c r="G124" s="7" t="inlineStr">
        <is>
          <t>Hamid Raza</t>
        </is>
      </c>
      <c r="H124" s="7" t="inlineStr">
        <is>
          <t>Corporate</t>
        </is>
      </c>
      <c r="I124" s="11" t="n">
        <v>72000000</v>
      </c>
      <c r="J124" s="11" t="n">
        <v>586400</v>
      </c>
      <c r="K124" s="11" t="n">
        <v>404374</v>
      </c>
      <c r="L124" s="11" t="n">
        <v>1</v>
      </c>
      <c r="M124" s="7" t="inlineStr">
        <is>
          <t>Lapsed</t>
        </is>
      </c>
    </row>
    <row r="125">
      <c r="A125" s="15" t="inlineStr">
        <is>
          <t>ADM-MTR-RWP-2024-2120</t>
        </is>
      </c>
      <c r="B125" s="41" t="n">
        <v>45648</v>
      </c>
      <c r="C125" s="15" t="inlineStr">
        <is>
          <t>Rawalpindi</t>
        </is>
      </c>
      <c r="D125" s="15" t="inlineStr">
        <is>
          <t>North</t>
        </is>
      </c>
      <c r="E125" s="15" t="inlineStr">
        <is>
          <t>Motor</t>
        </is>
      </c>
      <c r="F125" s="15" t="inlineStr">
        <is>
          <t>Corporate</t>
        </is>
      </c>
      <c r="G125" s="15" t="inlineStr">
        <is>
          <t>Nimra Saleem</t>
        </is>
      </c>
      <c r="H125" s="15" t="inlineStr">
        <is>
          <t>Corporate</t>
        </is>
      </c>
      <c r="I125" s="14" t="n">
        <v>6800000</v>
      </c>
      <c r="J125" s="14" t="n">
        <v>111000</v>
      </c>
      <c r="K125" s="14" t="n">
        <v>91930</v>
      </c>
      <c r="L125" s="14" t="n">
        <v>1</v>
      </c>
      <c r="M125" s="15" t="inlineStr">
        <is>
          <t>Cancelled</t>
        </is>
      </c>
    </row>
    <row r="127">
      <c r="A127"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7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Executive Committee Dashboard — one page, three pivots</t>
        </is>
      </c>
    </row>
    <row r="3">
      <c r="A3" s="21" t="inlineStr">
        <is>
          <t>Prepared for:</t>
        </is>
      </c>
      <c r="B3" s="22" t="inlineStr">
        <is>
          <t>Chief Executive's office</t>
        </is>
      </c>
    </row>
    <row r="4">
      <c r="A4" s="21" t="inlineStr">
        <is>
          <t>Prepared by:</t>
        </is>
      </c>
      <c r="B4" s="23" t="n"/>
    </row>
    <row r="5">
      <c r="A5" s="21" t="inlineStr">
        <is>
          <t>Reporting date:</t>
        </is>
      </c>
      <c r="B5" s="22" t="inlineStr">
        <is>
          <t>As at reporting date shown on the dataset</t>
        </is>
      </c>
    </row>
    <row r="7" ht="44" customHeight="1">
      <c r="A7" s="24" t="inlineStr">
        <is>
          <t>The Committee pack has three pivots on one page, each with its own report filter. In the last meeting the premium pivot was filtered to Q3 and the claims pivot to the full year, and the Committee spent twenty minutes discussing a loss ratio that did not exist.</t>
        </is>
      </c>
    </row>
    <row r="9">
      <c r="A9" s="25" t="inlineStr">
        <is>
          <t>Source data: '3.4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Executive Committee Dashboard — one page, three pivots</t>
        </is>
      </c>
      <c r="C13" s="38" t="inlineStr">
        <is>
          <t>A single dashboard page with three pivots — premium by branch, claims by product, policy count by channel — all driven by one shared set of controls so they can never show different periods.</t>
        </is>
      </c>
      <c r="D13" s="37" t="inlineStr">
        <is>
          <t>Chief Executive's office</t>
        </is>
      </c>
      <c r="E13" s="31" t="n"/>
    </row>
    <row r="14" ht="52" customHeight="1">
      <c r="A14" s="35" t="n">
        <v>2</v>
      </c>
      <c r="B14" s="36" t="inlineStr">
        <is>
          <t>Period control on the dashboard</t>
        </is>
      </c>
      <c r="C14" s="38" t="inlineStr">
        <is>
          <t>A Timeline on the booking date connected to all three pivots, set to quarters, with evidence that selecting Q3 2024 moves every pivot on the page together.</t>
        </is>
      </c>
      <c r="D14" s="37" t="inlineStr">
        <is>
          <t>Chief Executive's office</t>
        </is>
      </c>
      <c r="E14" s="31" t="n"/>
    </row>
    <row r="15" ht="52" customHeight="1">
      <c r="A15" s="35" t="n">
        <v>3</v>
      </c>
      <c r="B15" s="36" t="inlineStr">
        <is>
          <t>Dashboard layout and finishing</t>
        </is>
      </c>
      <c r="C15" s="38" t="inlineStr">
        <is>
          <t>The finished dashboard header: slicers arranged in two columns, a consistent style applied, and items with no data hidden. Screenshot or description of the layout in the yellow box.</t>
        </is>
      </c>
      <c r="D15" s="37" t="inlineStr">
        <is>
          <t>Head of Management Reporting</t>
        </is>
      </c>
      <c r="E15" s="31" t="n"/>
    </row>
    <row r="16" ht="52" customHeight="1">
      <c r="A16" s="35" t="n">
        <v>4</v>
      </c>
      <c r="B16" s="36" t="inlineStr">
        <is>
          <t>Protecting the dashboard from its users</t>
        </is>
      </c>
      <c r="C16" s="38" t="inlineStr">
        <is>
          <t>The dashboard protected so users can operate the slicers and timeline but cannot move, resize or delete them, with the protection settings recorded.</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74.xml><?xml version="1.0" encoding="utf-8"?>
<worksheet xmlns="http://schemas.openxmlformats.org/spreadsheetml/2006/main">
  <sheetPr>
    <tabColor rgb="001F3864"/>
    <outlinePr summaryBelow="1" summaryRight="1"/>
    <pageSetUpPr/>
  </sheetPr>
  <dimension ref="A1:F49"/>
  <sheetViews>
    <sheetView showGridLines="0" workbookViewId="0">
      <pane ySplit="5" topLeftCell="A6" activePane="bottomLeft" state="frozen"/>
      <selection pane="bottomLeft" activeCell="A1" sqref="A1"/>
    </sheetView>
  </sheetViews>
  <sheetFormatPr baseColWidth="8" defaultRowHeight="15"/>
  <cols>
    <col width="14" customWidth="1" min="1" max="1"/>
    <col width="16" customWidth="1" min="2" max="2"/>
    <col width="18" customWidth="1" min="3" max="3"/>
    <col width="16" customWidth="1" min="4" max="4"/>
    <col width="14" customWidth="1" min="5" max="5"/>
    <col width="16" customWidth="1" min="6" max="6"/>
  </cols>
  <sheetData>
    <row r="1" ht="26" customHeight="1">
      <c r="A1" s="1" t="inlineStr">
        <is>
          <t>Dataset 3.5  —  Pivot Table from Multiple Sheets Using Consolidation</t>
        </is>
      </c>
    </row>
    <row r="2" ht="16" customHeight="1">
      <c r="A2" s="2" t="inlineStr">
        <is>
          <t>Session 3: Advanced Pivot Tables, Power Query &amp; What-If Analysis | Part A: Advanced Pivot Tables   |   Adamjee Assurance Company Limited (Pakistan) — training data, figures in PKR</t>
        </is>
      </c>
    </row>
    <row r="4">
      <c r="A4" s="9" t="inlineStr">
        <is>
          <t>Block 1 — KARACHI MAIN (treat this as its own sheet)</t>
        </is>
      </c>
    </row>
    <row r="5" ht="30" customHeight="1">
      <c r="A5" s="10" t="inlineStr">
        <is>
          <t>Month</t>
        </is>
      </c>
      <c r="B5" s="10" t="inlineStr">
        <is>
          <t>Motor</t>
        </is>
      </c>
      <c r="C5" s="10" t="inlineStr">
        <is>
          <t>Fire &amp; Property</t>
        </is>
      </c>
      <c r="D5" s="10" t="inlineStr">
        <is>
          <t>Marine Cargo</t>
        </is>
      </c>
      <c r="E5" s="10" t="inlineStr">
        <is>
          <t>Health</t>
        </is>
      </c>
      <c r="F5" s="10" t="inlineStr">
        <is>
          <t>Engineering</t>
        </is>
      </c>
    </row>
    <row r="6">
      <c r="A6" s="7" t="inlineStr">
        <is>
          <t>Jan-2024</t>
        </is>
      </c>
      <c r="B6" s="11" t="n">
        <v>4200000</v>
      </c>
      <c r="C6" s="11" t="n">
        <v>3100000</v>
      </c>
      <c r="D6" s="11" t="n">
        <v>2650000</v>
      </c>
      <c r="E6" s="11" t="n">
        <v>1450000</v>
      </c>
      <c r="F6" s="11" t="n">
        <v>980000</v>
      </c>
    </row>
    <row r="7">
      <c r="A7" s="15" t="inlineStr">
        <is>
          <t>Feb-2024</t>
        </is>
      </c>
      <c r="B7" s="14" t="n">
        <v>4380000</v>
      </c>
      <c r="C7" s="14" t="n">
        <v>3195000</v>
      </c>
      <c r="D7" s="14" t="n">
        <v>2710000</v>
      </c>
      <c r="E7" s="14" t="n">
        <v>1492000</v>
      </c>
      <c r="F7" s="14" t="n">
        <v>1011000</v>
      </c>
    </row>
    <row r="8">
      <c r="A8" s="7" t="inlineStr">
        <is>
          <t>Mar-2024</t>
        </is>
      </c>
      <c r="B8" s="11" t="n">
        <v>4560000</v>
      </c>
      <c r="C8" s="11" t="n">
        <v>3290000</v>
      </c>
      <c r="D8" s="11" t="n">
        <v>2770000</v>
      </c>
      <c r="E8" s="11" t="n">
        <v>1534000</v>
      </c>
      <c r="F8" s="11" t="n">
        <v>1042000</v>
      </c>
    </row>
    <row r="9">
      <c r="A9" s="15" t="inlineStr">
        <is>
          <t>Apr-2024</t>
        </is>
      </c>
      <c r="B9" s="14" t="n">
        <v>4740000</v>
      </c>
      <c r="C9" s="14" t="n">
        <v>3385000</v>
      </c>
      <c r="D9" s="14" t="n">
        <v>2830000</v>
      </c>
      <c r="E9" s="14" t="n">
        <v>1576000</v>
      </c>
      <c r="F9" s="14" t="n">
        <v>1073000</v>
      </c>
    </row>
    <row r="10">
      <c r="A10" s="7" t="inlineStr">
        <is>
          <t>May-2024</t>
        </is>
      </c>
      <c r="B10" s="11" t="n">
        <v>4920000</v>
      </c>
      <c r="C10" s="11" t="n">
        <v>3480000</v>
      </c>
      <c r="D10" s="11" t="n">
        <v>2890000</v>
      </c>
      <c r="E10" s="11" t="n">
        <v>1618000</v>
      </c>
      <c r="F10" s="11" t="n">
        <v>1104000</v>
      </c>
    </row>
    <row r="11">
      <c r="A11" s="15" t="inlineStr">
        <is>
          <t>Jun-2024</t>
        </is>
      </c>
      <c r="B11" s="14" t="n">
        <v>5100000</v>
      </c>
      <c r="C11" s="14" t="n">
        <v>3575000</v>
      </c>
      <c r="D11" s="14" t="n">
        <v>2950000</v>
      </c>
      <c r="E11" s="14" t="n">
        <v>1660000</v>
      </c>
      <c r="F11" s="14" t="n">
        <v>1135000</v>
      </c>
    </row>
    <row r="12">
      <c r="A12" s="7" t="inlineStr">
        <is>
          <t>Jul-2024</t>
        </is>
      </c>
      <c r="B12" s="11" t="n">
        <v>5280000</v>
      </c>
      <c r="C12" s="11" t="n">
        <v>3670000</v>
      </c>
      <c r="D12" s="11" t="n">
        <v>3010000</v>
      </c>
      <c r="E12" s="11" t="n">
        <v>1702000</v>
      </c>
      <c r="F12" s="11" t="n">
        <v>1166000</v>
      </c>
    </row>
    <row r="13">
      <c r="A13" s="15" t="inlineStr">
        <is>
          <t>Aug-2024</t>
        </is>
      </c>
      <c r="B13" s="14" t="n">
        <v>5460000</v>
      </c>
      <c r="C13" s="14" t="n">
        <v>3765000</v>
      </c>
      <c r="D13" s="14" t="n">
        <v>3070000</v>
      </c>
      <c r="E13" s="14" t="n">
        <v>1744000</v>
      </c>
      <c r="F13" s="14" t="n">
        <v>1197000</v>
      </c>
    </row>
    <row r="14">
      <c r="A14" s="7" t="inlineStr">
        <is>
          <t>Sep-2024</t>
        </is>
      </c>
      <c r="B14" s="11" t="n">
        <v>5640000</v>
      </c>
      <c r="C14" s="11" t="n">
        <v>3860000</v>
      </c>
      <c r="D14" s="11" t="n">
        <v>3130000</v>
      </c>
      <c r="E14" s="11" t="n">
        <v>1786000</v>
      </c>
      <c r="F14" s="11" t="n">
        <v>1228000</v>
      </c>
    </row>
    <row r="15">
      <c r="A15" s="15" t="inlineStr">
        <is>
          <t>Oct-2024</t>
        </is>
      </c>
      <c r="B15" s="14" t="n">
        <v>5820000</v>
      </c>
      <c r="C15" s="14" t="n">
        <v>3955000</v>
      </c>
      <c r="D15" s="14" t="n">
        <v>3190000</v>
      </c>
      <c r="E15" s="14" t="n">
        <v>1828000</v>
      </c>
      <c r="F15" s="14" t="n">
        <v>1259000</v>
      </c>
    </row>
    <row r="16">
      <c r="A16" s="7" t="inlineStr">
        <is>
          <t>Nov-2024</t>
        </is>
      </c>
      <c r="B16" s="11" t="n">
        <v>6000000</v>
      </c>
      <c r="C16" s="11" t="n">
        <v>4050000</v>
      </c>
      <c r="D16" s="11" t="n">
        <v>3250000</v>
      </c>
      <c r="E16" s="11" t="n">
        <v>1870000</v>
      </c>
      <c r="F16" s="11" t="n">
        <v>1290000</v>
      </c>
    </row>
    <row r="17">
      <c r="A17" s="15" t="inlineStr">
        <is>
          <t>Dec-2024</t>
        </is>
      </c>
      <c r="B17" s="14" t="n">
        <v>6180000</v>
      </c>
      <c r="C17" s="14" t="n">
        <v>4145000</v>
      </c>
      <c r="D17" s="14" t="n">
        <v>3310000</v>
      </c>
      <c r="E17" s="14" t="n">
        <v>1912000</v>
      </c>
      <c r="F17" s="14" t="n">
        <v>1321000</v>
      </c>
    </row>
    <row r="19">
      <c r="A19" s="9" t="inlineStr">
        <is>
          <t>Block 2 — LAHORE GULBERG</t>
        </is>
      </c>
    </row>
    <row r="20" ht="30" customHeight="1">
      <c r="A20" s="10" t="inlineStr">
        <is>
          <t>Month</t>
        </is>
      </c>
      <c r="B20" s="10" t="inlineStr">
        <is>
          <t>Motor</t>
        </is>
      </c>
      <c r="C20" s="10" t="inlineStr">
        <is>
          <t>Fire &amp; Property</t>
        </is>
      </c>
      <c r="D20" s="10" t="inlineStr">
        <is>
          <t>Marine Cargo</t>
        </is>
      </c>
      <c r="E20" s="10" t="inlineStr">
        <is>
          <t>Health</t>
        </is>
      </c>
      <c r="F20" s="10" t="inlineStr">
        <is>
          <t>Engineering</t>
        </is>
      </c>
    </row>
    <row r="21">
      <c r="A21" s="7" t="inlineStr">
        <is>
          <t>Jan-2024</t>
        </is>
      </c>
      <c r="B21" s="11" t="n">
        <v>2900000</v>
      </c>
      <c r="C21" s="11" t="n">
        <v>2450000</v>
      </c>
      <c r="D21" s="11" t="n">
        <v>1150000</v>
      </c>
      <c r="E21" s="11" t="n">
        <v>1980000</v>
      </c>
      <c r="F21" s="11" t="n">
        <v>1320000</v>
      </c>
    </row>
    <row r="22">
      <c r="A22" s="15" t="inlineStr">
        <is>
          <t>Feb-2024</t>
        </is>
      </c>
      <c r="B22" s="14" t="n">
        <v>3020000</v>
      </c>
      <c r="C22" s="14" t="n">
        <v>2538000</v>
      </c>
      <c r="D22" s="14" t="n">
        <v>1176000</v>
      </c>
      <c r="E22" s="14" t="n">
        <v>2035000</v>
      </c>
      <c r="F22" s="14" t="n">
        <v>1364000</v>
      </c>
    </row>
    <row r="23">
      <c r="A23" s="7" t="inlineStr">
        <is>
          <t>Mar-2024</t>
        </is>
      </c>
      <c r="B23" s="11" t="n">
        <v>3140000</v>
      </c>
      <c r="C23" s="11" t="n">
        <v>2626000</v>
      </c>
      <c r="D23" s="11" t="n">
        <v>1202000</v>
      </c>
      <c r="E23" s="11" t="n">
        <v>2090000</v>
      </c>
      <c r="F23" s="11" t="n">
        <v>1408000</v>
      </c>
    </row>
    <row r="24">
      <c r="A24" s="15" t="inlineStr">
        <is>
          <t>Apr-2024</t>
        </is>
      </c>
      <c r="B24" s="14" t="n">
        <v>3260000</v>
      </c>
      <c r="C24" s="14" t="n">
        <v>2714000</v>
      </c>
      <c r="D24" s="14" t="n">
        <v>1228000</v>
      </c>
      <c r="E24" s="14" t="n">
        <v>2145000</v>
      </c>
      <c r="F24" s="14" t="n">
        <v>1452000</v>
      </c>
    </row>
    <row r="25">
      <c r="A25" s="7" t="inlineStr">
        <is>
          <t>May-2024</t>
        </is>
      </c>
      <c r="B25" s="11" t="n">
        <v>3380000</v>
      </c>
      <c r="C25" s="11" t="n">
        <v>2802000</v>
      </c>
      <c r="D25" s="11" t="n">
        <v>1254000</v>
      </c>
      <c r="E25" s="11" t="n">
        <v>2200000</v>
      </c>
      <c r="F25" s="11" t="n">
        <v>1496000</v>
      </c>
    </row>
    <row r="26">
      <c r="A26" s="15" t="inlineStr">
        <is>
          <t>Jun-2024</t>
        </is>
      </c>
      <c r="B26" s="14" t="n">
        <v>3500000</v>
      </c>
      <c r="C26" s="14" t="n">
        <v>2890000</v>
      </c>
      <c r="D26" s="14" t="n">
        <v>1280000</v>
      </c>
      <c r="E26" s="14" t="n">
        <v>2255000</v>
      </c>
      <c r="F26" s="14" t="n">
        <v>1540000</v>
      </c>
    </row>
    <row r="27">
      <c r="A27" s="7" t="inlineStr">
        <is>
          <t>Jul-2024</t>
        </is>
      </c>
      <c r="B27" s="11" t="n">
        <v>3620000</v>
      </c>
      <c r="C27" s="11" t="n">
        <v>2978000</v>
      </c>
      <c r="D27" s="11" t="n">
        <v>1306000</v>
      </c>
      <c r="E27" s="11" t="n">
        <v>2310000</v>
      </c>
      <c r="F27" s="11" t="n">
        <v>1584000</v>
      </c>
    </row>
    <row r="28">
      <c r="A28" s="15" t="inlineStr">
        <is>
          <t>Aug-2024</t>
        </is>
      </c>
      <c r="B28" s="14" t="n">
        <v>3740000</v>
      </c>
      <c r="C28" s="14" t="n">
        <v>3066000</v>
      </c>
      <c r="D28" s="14" t="n">
        <v>1332000</v>
      </c>
      <c r="E28" s="14" t="n">
        <v>2365000</v>
      </c>
      <c r="F28" s="14" t="n">
        <v>1628000</v>
      </c>
    </row>
    <row r="29">
      <c r="A29" s="7" t="inlineStr">
        <is>
          <t>Sep-2024</t>
        </is>
      </c>
      <c r="B29" s="11" t="n">
        <v>3860000</v>
      </c>
      <c r="C29" s="11" t="n">
        <v>3154000</v>
      </c>
      <c r="D29" s="11" t="n">
        <v>1358000</v>
      </c>
      <c r="E29" s="11" t="n">
        <v>2420000</v>
      </c>
      <c r="F29" s="11" t="n">
        <v>1672000</v>
      </c>
    </row>
    <row r="30">
      <c r="A30" s="15" t="inlineStr">
        <is>
          <t>Oct-2024</t>
        </is>
      </c>
      <c r="B30" s="14" t="n">
        <v>3980000</v>
      </c>
      <c r="C30" s="14" t="n">
        <v>3242000</v>
      </c>
      <c r="D30" s="14" t="n">
        <v>1384000</v>
      </c>
      <c r="E30" s="14" t="n">
        <v>2475000</v>
      </c>
      <c r="F30" s="14" t="n">
        <v>1716000</v>
      </c>
    </row>
    <row r="31">
      <c r="A31" s="7" t="inlineStr">
        <is>
          <t>Nov-2024</t>
        </is>
      </c>
      <c r="B31" s="11" t="n">
        <v>4100000</v>
      </c>
      <c r="C31" s="11" t="n">
        <v>3330000</v>
      </c>
      <c r="D31" s="11" t="n">
        <v>1410000</v>
      </c>
      <c r="E31" s="11" t="n">
        <v>2530000</v>
      </c>
      <c r="F31" s="11" t="n">
        <v>1760000</v>
      </c>
    </row>
    <row r="32">
      <c r="A32" s="15" t="inlineStr">
        <is>
          <t>Dec-2024</t>
        </is>
      </c>
      <c r="B32" s="14" t="n">
        <v>4220000</v>
      </c>
      <c r="C32" s="14" t="n">
        <v>3418000</v>
      </c>
      <c r="D32" s="14" t="n">
        <v>1436000</v>
      </c>
      <c r="E32" s="14" t="n">
        <v>2585000</v>
      </c>
      <c r="F32" s="14" t="n">
        <v>1804000</v>
      </c>
    </row>
    <row r="34">
      <c r="A34" s="9" t="inlineStr">
        <is>
          <t>Block 3 — ISLAMABAD BLUE AREA</t>
        </is>
      </c>
    </row>
    <row r="35" ht="30" customHeight="1">
      <c r="A35" s="10" t="inlineStr">
        <is>
          <t>Month</t>
        </is>
      </c>
      <c r="B35" s="10" t="inlineStr">
        <is>
          <t>Motor</t>
        </is>
      </c>
      <c r="C35" s="10" t="inlineStr">
        <is>
          <t>Fire &amp; Property</t>
        </is>
      </c>
      <c r="D35" s="10" t="inlineStr">
        <is>
          <t>Marine Cargo</t>
        </is>
      </c>
      <c r="E35" s="10" t="inlineStr">
        <is>
          <t>Health</t>
        </is>
      </c>
      <c r="F35" s="10" t="inlineStr">
        <is>
          <t>Engineering</t>
        </is>
      </c>
    </row>
    <row r="36">
      <c r="A36" s="7" t="inlineStr">
        <is>
          <t>Jan-2024</t>
        </is>
      </c>
      <c r="B36" s="11" t="n">
        <v>1650000</v>
      </c>
      <c r="C36" s="11" t="n">
        <v>1320000</v>
      </c>
      <c r="D36" s="11" t="n">
        <v>420000</v>
      </c>
      <c r="E36" s="11" t="n">
        <v>2240000</v>
      </c>
      <c r="F36" s="11" t="n">
        <v>760000</v>
      </c>
    </row>
    <row r="37">
      <c r="A37" s="15" t="inlineStr">
        <is>
          <t>Feb-2024</t>
        </is>
      </c>
      <c r="B37" s="14" t="n">
        <v>1724000</v>
      </c>
      <c r="C37" s="14" t="n">
        <v>1371000</v>
      </c>
      <c r="D37" s="14" t="n">
        <v>431000</v>
      </c>
      <c r="E37" s="14" t="n">
        <v>2308000</v>
      </c>
      <c r="F37" s="14" t="n">
        <v>782000</v>
      </c>
    </row>
    <row r="38">
      <c r="A38" s="7" t="inlineStr">
        <is>
          <t>Mar-2024</t>
        </is>
      </c>
      <c r="B38" s="11" t="n">
        <v>1798000</v>
      </c>
      <c r="C38" s="11" t="n">
        <v>1422000</v>
      </c>
      <c r="D38" s="11" t="n">
        <v>442000</v>
      </c>
      <c r="E38" s="11" t="n">
        <v>2376000</v>
      </c>
      <c r="F38" s="11" t="n">
        <v>804000</v>
      </c>
    </row>
    <row r="39">
      <c r="A39" s="15" t="inlineStr">
        <is>
          <t>Apr-2024</t>
        </is>
      </c>
      <c r="B39" s="14" t="n">
        <v>1872000</v>
      </c>
      <c r="C39" s="14" t="n">
        <v>1473000</v>
      </c>
      <c r="D39" s="14" t="n">
        <v>453000</v>
      </c>
      <c r="E39" s="14" t="n">
        <v>2444000</v>
      </c>
      <c r="F39" s="14" t="n">
        <v>826000</v>
      </c>
    </row>
    <row r="40">
      <c r="A40" s="7" t="inlineStr">
        <is>
          <t>May-2024</t>
        </is>
      </c>
      <c r="B40" s="11" t="n">
        <v>1946000</v>
      </c>
      <c r="C40" s="11" t="n">
        <v>1524000</v>
      </c>
      <c r="D40" s="11" t="n">
        <v>464000</v>
      </c>
      <c r="E40" s="11" t="n">
        <v>2512000</v>
      </c>
      <c r="F40" s="11" t="n">
        <v>848000</v>
      </c>
    </row>
    <row r="41">
      <c r="A41" s="15" t="inlineStr">
        <is>
          <t>Jun-2024</t>
        </is>
      </c>
      <c r="B41" s="14" t="n">
        <v>2020000</v>
      </c>
      <c r="C41" s="14" t="n">
        <v>1575000</v>
      </c>
      <c r="D41" s="14" t="n">
        <v>475000</v>
      </c>
      <c r="E41" s="14" t="n">
        <v>2580000</v>
      </c>
      <c r="F41" s="14" t="n">
        <v>870000</v>
      </c>
    </row>
    <row r="42">
      <c r="A42" s="7" t="inlineStr">
        <is>
          <t>Jul-2024</t>
        </is>
      </c>
      <c r="B42" s="11" t="n">
        <v>2094000</v>
      </c>
      <c r="C42" s="11" t="n">
        <v>1626000</v>
      </c>
      <c r="D42" s="11" t="n">
        <v>486000</v>
      </c>
      <c r="E42" s="11" t="n">
        <v>2648000</v>
      </c>
      <c r="F42" s="11" t="n">
        <v>892000</v>
      </c>
    </row>
    <row r="43">
      <c r="A43" s="15" t="inlineStr">
        <is>
          <t>Aug-2024</t>
        </is>
      </c>
      <c r="B43" s="14" t="n">
        <v>2168000</v>
      </c>
      <c r="C43" s="14" t="n">
        <v>1677000</v>
      </c>
      <c r="D43" s="14" t="n">
        <v>497000</v>
      </c>
      <c r="E43" s="14" t="n">
        <v>2716000</v>
      </c>
      <c r="F43" s="14" t="n">
        <v>914000</v>
      </c>
    </row>
    <row r="44">
      <c r="A44" s="7" t="inlineStr">
        <is>
          <t>Sep-2024</t>
        </is>
      </c>
      <c r="B44" s="11" t="n">
        <v>2242000</v>
      </c>
      <c r="C44" s="11" t="n">
        <v>1728000</v>
      </c>
      <c r="D44" s="11" t="n">
        <v>508000</v>
      </c>
      <c r="E44" s="11" t="n">
        <v>2784000</v>
      </c>
      <c r="F44" s="11" t="n">
        <v>936000</v>
      </c>
    </row>
    <row r="45">
      <c r="A45" s="15" t="inlineStr">
        <is>
          <t>Oct-2024</t>
        </is>
      </c>
      <c r="B45" s="14" t="n">
        <v>2316000</v>
      </c>
      <c r="C45" s="14" t="n">
        <v>1779000</v>
      </c>
      <c r="D45" s="14" t="n">
        <v>519000</v>
      </c>
      <c r="E45" s="14" t="n">
        <v>2852000</v>
      </c>
      <c r="F45" s="14" t="n">
        <v>958000</v>
      </c>
    </row>
    <row r="46">
      <c r="A46" s="7" t="inlineStr">
        <is>
          <t>Nov-2024</t>
        </is>
      </c>
      <c r="B46" s="11" t="n">
        <v>2390000</v>
      </c>
      <c r="C46" s="11" t="n">
        <v>1830000</v>
      </c>
      <c r="D46" s="11" t="n">
        <v>530000</v>
      </c>
      <c r="E46" s="11" t="n">
        <v>2920000</v>
      </c>
      <c r="F46" s="11" t="n">
        <v>980000</v>
      </c>
    </row>
    <row r="47">
      <c r="A47" s="15" t="inlineStr">
        <is>
          <t>Dec-2024</t>
        </is>
      </c>
      <c r="B47" s="14" t="n">
        <v>2464000</v>
      </c>
      <c r="C47" s="14" t="n">
        <v>1881000</v>
      </c>
      <c r="D47" s="14" t="n">
        <v>541000</v>
      </c>
      <c r="E47" s="14" t="n">
        <v>2988000</v>
      </c>
      <c r="F47" s="14" t="n">
        <v>1002000</v>
      </c>
    </row>
    <row r="49">
      <c r="A4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7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Consolidated Regional Report from three branch files</t>
        </is>
      </c>
    </row>
    <row r="3">
      <c r="A3" s="21" t="inlineStr">
        <is>
          <t>Prepared for:</t>
        </is>
      </c>
      <c r="B3" s="22" t="inlineStr">
        <is>
          <t>Regional Head — Central</t>
        </is>
      </c>
    </row>
    <row r="4">
      <c r="A4" s="21" t="inlineStr">
        <is>
          <t>Prepared by:</t>
        </is>
      </c>
      <c r="B4" s="23" t="n"/>
    </row>
    <row r="5">
      <c r="A5" s="21" t="inlineStr">
        <is>
          <t>Reporting date:</t>
        </is>
      </c>
      <c r="B5" s="22" t="inlineStr">
        <is>
          <t>As at reporting date shown on the dataset</t>
        </is>
      </c>
    </row>
    <row r="7" ht="44" customHeight="1">
      <c r="A7" s="24" t="inlineStr">
        <is>
          <t>Three branches still send separate monthly files with identical layouts. The consolidation is done by copying each into a master and adding the blocks, which takes a morning and produced a double-counted Karachi block in April.</t>
        </is>
      </c>
    </row>
    <row r="9">
      <c r="A9" s="25" t="inlineStr">
        <is>
          <t>Source data: '3.5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Consolidated Regional Report from three branch files</t>
        </is>
      </c>
      <c r="C13" s="38" t="inlineStr">
        <is>
          <t>A consolidated pivot built from the three blocks using the Multiple Consolidation Ranges wizard, with a page field naming each branch so the consolidation can be filtered back to any single branch.</t>
        </is>
      </c>
      <c r="D13" s="37" t="inlineStr">
        <is>
          <t>Regional Head — Central</t>
        </is>
      </c>
      <c r="E13" s="31" t="n"/>
    </row>
    <row r="14" ht="52" customHeight="1">
      <c r="A14" s="35" t="n">
        <v>2</v>
      </c>
      <c r="B14" s="36" t="inlineStr">
        <is>
          <t>Reconciliation before the pack is issued</t>
        </is>
      </c>
      <c r="C14" s="38" t="inlineStr">
        <is>
          <t>A reconciliation block: total per the consolidated pivot | sum of the three branch blocks | difference, which must be zero, with the branch-by-branch figures shown.</t>
        </is>
      </c>
      <c r="D14" s="37" t="inlineStr">
        <is>
          <t>Head of Internal Audit</t>
        </is>
      </c>
      <c r="E14" s="31" t="n"/>
    </row>
    <row r="15" ht="39" customHeight="1">
      <c r="A15" s="35" t="n">
        <v>3</v>
      </c>
      <c r="B15" s="36" t="inlineStr">
        <is>
          <t>Readable field names for the Regional Head</t>
        </is>
      </c>
      <c r="C15" s="38" t="inlineStr">
        <is>
          <t>The consolidated pivot with fields renamed to Month, Product and Branch, and the value field renamed to Premium.</t>
        </is>
      </c>
      <c r="D15" s="37" t="inlineStr">
        <is>
          <t>Regional Head — Central</t>
        </is>
      </c>
      <c r="E15" s="31" t="n"/>
    </row>
    <row r="16" ht="65" customHeight="1">
      <c r="A16" s="35" t="n">
        <v>4</v>
      </c>
      <c r="B16" s="36" t="inlineStr">
        <is>
          <t>Method recommendation for next month</t>
        </is>
      </c>
      <c r="C16" s="38" t="inlineStr">
        <is>
          <t>A two-line recommendation comparing the consolidation wizard against a Power Query Append for this job, naming two limitations of the wizard and stating which you would ship for next month end.</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76.xml><?xml version="1.0" encoding="utf-8"?>
<worksheet xmlns="http://schemas.openxmlformats.org/spreadsheetml/2006/main">
  <sheetPr>
    <tabColor rgb="001F3864"/>
    <outlinePr summaryBelow="1" summaryRight="1"/>
    <pageSetUpPr/>
  </sheetPr>
  <dimension ref="A1:M133"/>
  <sheetViews>
    <sheetView showGridLines="0" workbookViewId="0">
      <pane ySplit="5" topLeftCell="A6"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17" customWidth="1" min="5" max="5"/>
    <col width="16" customWidth="1" min="6" max="6"/>
    <col width="20" customWidth="1" min="7" max="7"/>
    <col width="13" customWidth="1" min="8" max="8"/>
    <col width="19" customWidth="1" min="9" max="9"/>
    <col width="20" customWidth="1" min="10" max="10"/>
    <col width="19" customWidth="1" min="11" max="11"/>
    <col width="13" customWidth="1" min="12" max="12"/>
    <col width="14" customWidth="1" min="13" max="13"/>
  </cols>
  <sheetData>
    <row r="1" ht="26" customHeight="1">
      <c r="A1" s="1" t="inlineStr">
        <is>
          <t>Dataset 3.6  —  Conditional Formatting Applied to Pivot Tables</t>
        </is>
      </c>
    </row>
    <row r="2" ht="16" customHeight="1">
      <c r="A2" s="2" t="inlineStr">
        <is>
          <t>Session 3: Advanced Pivot Tables, Power Query &amp; What-If Analysis | Part A: Advanced Pivot Tables   |   Adamjee Assurance Company Limited (Pakistan) — training data, figures in PKR</t>
        </is>
      </c>
    </row>
    <row r="4">
      <c r="A4" s="9" t="inlineStr">
        <is>
          <t>Table A — Policy transaction register 2024 (120 rows — the pivot source)</t>
        </is>
      </c>
    </row>
    <row r="5" ht="30" customHeight="1">
      <c r="A5" s="10" t="inlineStr">
        <is>
          <t>Policy No</t>
        </is>
      </c>
      <c r="B5" s="10" t="inlineStr">
        <is>
          <t>Booking Date</t>
        </is>
      </c>
      <c r="C5" s="10" t="inlineStr">
        <is>
          <t>Branch</t>
        </is>
      </c>
      <c r="D5" s="10" t="inlineStr">
        <is>
          <t>Region</t>
        </is>
      </c>
      <c r="E5" s="10" t="inlineStr">
        <is>
          <t>Product</t>
        </is>
      </c>
      <c r="F5" s="10" t="inlineStr">
        <is>
          <t>Channel</t>
        </is>
      </c>
      <c r="G5" s="10" t="inlineStr">
        <is>
          <t>Agent Name</t>
        </is>
      </c>
      <c r="H5" s="10" t="inlineStr">
        <is>
          <t>Client Type</t>
        </is>
      </c>
      <c r="I5" s="10" t="inlineStr">
        <is>
          <t>Sum Insured (PKR)</t>
        </is>
      </c>
      <c r="J5" s="10" t="inlineStr">
        <is>
          <t>Gross Premium (PKR)</t>
        </is>
      </c>
      <c r="K5" s="10" t="inlineStr">
        <is>
          <t>Claims Paid (PKR)</t>
        </is>
      </c>
      <c r="L5" s="10" t="inlineStr">
        <is>
          <t>Policy Count</t>
        </is>
      </c>
      <c r="M5" s="10" t="inlineStr">
        <is>
          <t>Policy Status</t>
        </is>
      </c>
    </row>
    <row r="6">
      <c r="A6" s="7" t="inlineStr">
        <is>
          <t>ADM-MTR-KHI-2024-2001</t>
        </is>
      </c>
      <c r="B6" s="40" t="n">
        <v>45292</v>
      </c>
      <c r="C6" s="7" t="inlineStr">
        <is>
          <t>Karachi Main</t>
        </is>
      </c>
      <c r="D6" s="7" t="inlineStr">
        <is>
          <t>South</t>
        </is>
      </c>
      <c r="E6" s="7" t="inlineStr">
        <is>
          <t>Motor</t>
        </is>
      </c>
      <c r="F6" s="7" t="inlineStr">
        <is>
          <t>Direct</t>
        </is>
      </c>
      <c r="G6" s="7" t="inlineStr">
        <is>
          <t>Tariq Jameel</t>
        </is>
      </c>
      <c r="H6" s="7" t="inlineStr">
        <is>
          <t>Individual</t>
        </is>
      </c>
      <c r="I6" s="11" t="n">
        <v>3400000</v>
      </c>
      <c r="J6" s="11" t="n">
        <v>33200</v>
      </c>
      <c r="K6" s="11" t="n">
        <v>52907</v>
      </c>
      <c r="L6" s="11" t="n">
        <v>1</v>
      </c>
      <c r="M6" s="7" t="inlineStr">
        <is>
          <t>Active</t>
        </is>
      </c>
    </row>
    <row r="7">
      <c r="A7" s="15" t="inlineStr">
        <is>
          <t>ADM-HLT-LHR-2024-2002</t>
        </is>
      </c>
      <c r="B7" s="41" t="n">
        <v>45330</v>
      </c>
      <c r="C7" s="15" t="inlineStr">
        <is>
          <t>Lahore Gulberg</t>
        </is>
      </c>
      <c r="D7" s="15" t="inlineStr">
        <is>
          <t>Central</t>
        </is>
      </c>
      <c r="E7" s="15" t="inlineStr">
        <is>
          <t>Health</t>
        </is>
      </c>
      <c r="F7" s="15" t="inlineStr">
        <is>
          <t>Agency</t>
        </is>
      </c>
      <c r="G7" s="15" t="inlineStr">
        <is>
          <t>Nadia Hassan</t>
        </is>
      </c>
      <c r="H7" s="15" t="inlineStr">
        <is>
          <t>Corporate</t>
        </is>
      </c>
      <c r="I7" s="14" t="n">
        <v>1200000</v>
      </c>
      <c r="J7" s="14" t="n">
        <v>15300</v>
      </c>
      <c r="K7" s="14" t="n">
        <v>3207</v>
      </c>
      <c r="L7" s="14" t="n">
        <v>1</v>
      </c>
      <c r="M7" s="15" t="inlineStr">
        <is>
          <t>Active</t>
        </is>
      </c>
    </row>
    <row r="8">
      <c r="A8" s="7" t="inlineStr">
        <is>
          <t>ADM-MSC-ISB-2024-2003</t>
        </is>
      </c>
      <c r="B8" s="40" t="n">
        <v>45366</v>
      </c>
      <c r="C8" s="7" t="inlineStr">
        <is>
          <t>Islamabad Blue Area</t>
        </is>
      </c>
      <c r="D8" s="7" t="inlineStr">
        <is>
          <t>North</t>
        </is>
      </c>
      <c r="E8" s="7" t="inlineStr">
        <is>
          <t>Miscellaneous</t>
        </is>
      </c>
      <c r="F8" s="7" t="inlineStr">
        <is>
          <t>Bancassurance</t>
        </is>
      </c>
      <c r="G8" s="7" t="inlineStr">
        <is>
          <t>Salman Shah</t>
        </is>
      </c>
      <c r="H8" s="7" t="inlineStr">
        <is>
          <t>Corporate</t>
        </is>
      </c>
      <c r="I8" s="11" t="n">
        <v>11500000</v>
      </c>
      <c r="J8" s="11" t="n">
        <v>206100</v>
      </c>
      <c r="K8" s="11" t="n">
        <v>260673</v>
      </c>
      <c r="L8" s="11" t="n">
        <v>1</v>
      </c>
      <c r="M8" s="7" t="inlineStr">
        <is>
          <t>Renewed</t>
        </is>
      </c>
    </row>
    <row r="9">
      <c r="A9" s="15" t="inlineStr">
        <is>
          <t>ADM-MAR-FSD-2024-2004</t>
        </is>
      </c>
      <c r="B9" s="41" t="n">
        <v>45404</v>
      </c>
      <c r="C9" s="15" t="inlineStr">
        <is>
          <t>Faisalabad</t>
        </is>
      </c>
      <c r="D9" s="15" t="inlineStr">
        <is>
          <t>Central</t>
        </is>
      </c>
      <c r="E9" s="15" t="inlineStr">
        <is>
          <t>Marine Cargo</t>
        </is>
      </c>
      <c r="F9" s="15" t="inlineStr">
        <is>
          <t>Corporate</t>
        </is>
      </c>
      <c r="G9" s="15" t="inlineStr">
        <is>
          <t>Komal Bashir</t>
        </is>
      </c>
      <c r="H9" s="15" t="inlineStr">
        <is>
          <t>Individual</t>
        </is>
      </c>
      <c r="I9" s="14" t="n">
        <v>47000000</v>
      </c>
      <c r="J9" s="14" t="n">
        <v>1335500</v>
      </c>
      <c r="K9" s="14" t="n">
        <v>125902</v>
      </c>
      <c r="L9" s="14" t="n">
        <v>1</v>
      </c>
      <c r="M9" s="15" t="inlineStr">
        <is>
          <t>Lapsed</t>
        </is>
      </c>
    </row>
    <row r="10">
      <c r="A10" s="7" t="inlineStr">
        <is>
          <t>ADM-ENG-MUL-2024-2005</t>
        </is>
      </c>
      <c r="B10" s="40" t="n">
        <v>45413</v>
      </c>
      <c r="C10" s="7" t="inlineStr">
        <is>
          <t>Multan</t>
        </is>
      </c>
      <c r="D10" s="7" t="inlineStr">
        <is>
          <t>Central</t>
        </is>
      </c>
      <c r="E10" s="7" t="inlineStr">
        <is>
          <t>Engineering</t>
        </is>
      </c>
      <c r="F10" s="7" t="inlineStr">
        <is>
          <t>Direct</t>
        </is>
      </c>
      <c r="G10" s="7" t="inlineStr">
        <is>
          <t>Waqar Younis Khan</t>
        </is>
      </c>
      <c r="H10" s="7" t="inlineStr">
        <is>
          <t>Corporate</t>
        </is>
      </c>
      <c r="I10" s="11" t="n">
        <v>1200000</v>
      </c>
      <c r="J10" s="11" t="n">
        <v>14500</v>
      </c>
      <c r="K10" s="11" t="n">
        <v>20595</v>
      </c>
      <c r="L10" s="11" t="n">
        <v>1</v>
      </c>
      <c r="M10" s="7" t="inlineStr">
        <is>
          <t>Cancelled</t>
        </is>
      </c>
    </row>
    <row r="11">
      <c r="A11" s="15" t="inlineStr">
        <is>
          <t>ADM-FIR-PEW-2024-2006</t>
        </is>
      </c>
      <c r="B11" s="41" t="n">
        <v>45451</v>
      </c>
      <c r="C11" s="15" t="inlineStr">
        <is>
          <t>Peshawar</t>
        </is>
      </c>
      <c r="D11" s="15" t="inlineStr">
        <is>
          <t>North</t>
        </is>
      </c>
      <c r="E11" s="15" t="inlineStr">
        <is>
          <t>Fire &amp; Property</t>
        </is>
      </c>
      <c r="F11" s="15" t="inlineStr">
        <is>
          <t>Agency</t>
        </is>
      </c>
      <c r="G11" s="15" t="inlineStr">
        <is>
          <t>Amna Zubair</t>
        </is>
      </c>
      <c r="H11" s="15" t="inlineStr">
        <is>
          <t>Corporate</t>
        </is>
      </c>
      <c r="I11" s="14" t="n">
        <v>72000000</v>
      </c>
      <c r="J11" s="14" t="n">
        <v>1519000</v>
      </c>
      <c r="K11" s="14" t="n">
        <v>2506397</v>
      </c>
      <c r="L11" s="14" t="n">
        <v>1</v>
      </c>
      <c r="M11" s="15" t="inlineStr">
        <is>
          <t>Active</t>
        </is>
      </c>
    </row>
    <row r="12">
      <c r="A12" s="7" t="inlineStr">
        <is>
          <t>ADM-TRV-QTA-2024-2007</t>
        </is>
      </c>
      <c r="B12" s="40" t="n">
        <v>45488</v>
      </c>
      <c r="C12" s="7" t="inlineStr">
        <is>
          <t>Quetta</t>
        </is>
      </c>
      <c r="D12" s="7" t="inlineStr">
        <is>
          <t>South</t>
        </is>
      </c>
      <c r="E12" s="7" t="inlineStr">
        <is>
          <t>Travel</t>
        </is>
      </c>
      <c r="F12" s="7" t="inlineStr">
        <is>
          <t>Bancassurance</t>
        </is>
      </c>
      <c r="G12" s="7" t="inlineStr">
        <is>
          <t>Rizwan Ali Soomro</t>
        </is>
      </c>
      <c r="H12" s="7" t="inlineStr">
        <is>
          <t>Individual</t>
        </is>
      </c>
      <c r="I12" s="11" t="n">
        <v>1200000</v>
      </c>
      <c r="J12" s="11" t="n">
        <v>23900</v>
      </c>
      <c r="K12" s="11" t="n">
        <v>3819</v>
      </c>
      <c r="L12" s="11" t="n">
        <v>1</v>
      </c>
      <c r="M12" s="7" t="inlineStr">
        <is>
          <t>Active</t>
        </is>
      </c>
    </row>
    <row r="13">
      <c r="A13" s="15" t="inlineStr">
        <is>
          <t>ADM-MTR-HYD-2024-2008</t>
        </is>
      </c>
      <c r="B13" s="41" t="n">
        <v>45526</v>
      </c>
      <c r="C13" s="15" t="inlineStr">
        <is>
          <t>Hyderabad</t>
        </is>
      </c>
      <c r="D13" s="15" t="inlineStr">
        <is>
          <t>South</t>
        </is>
      </c>
      <c r="E13" s="15" t="inlineStr">
        <is>
          <t>Motor</t>
        </is>
      </c>
      <c r="F13" s="15" t="inlineStr">
        <is>
          <t>Corporate</t>
        </is>
      </c>
      <c r="G13" s="15" t="inlineStr">
        <is>
          <t>Farhan Dar</t>
        </is>
      </c>
      <c r="H13" s="15" t="inlineStr">
        <is>
          <t>Corporate</t>
        </is>
      </c>
      <c r="I13" s="14" t="n">
        <v>11500000</v>
      </c>
      <c r="J13" s="14" t="n">
        <v>204900</v>
      </c>
      <c r="K13" s="14" t="n">
        <v>293808</v>
      </c>
      <c r="L13" s="14" t="n">
        <v>1</v>
      </c>
      <c r="M13" s="15" t="inlineStr">
        <is>
          <t>Renewed</t>
        </is>
      </c>
    </row>
    <row r="14">
      <c r="A14" s="7" t="inlineStr">
        <is>
          <t>ADM-HLT-SKT-2024-2009</t>
        </is>
      </c>
      <c r="B14" s="40" t="n">
        <v>45536</v>
      </c>
      <c r="C14" s="7" t="inlineStr">
        <is>
          <t>Sialkot</t>
        </is>
      </c>
      <c r="D14" s="7" t="inlineStr">
        <is>
          <t>Central</t>
        </is>
      </c>
      <c r="E14" s="7" t="inlineStr">
        <is>
          <t>Health</t>
        </is>
      </c>
      <c r="F14" s="7" t="inlineStr">
        <is>
          <t>Direct</t>
        </is>
      </c>
      <c r="G14" s="7" t="inlineStr">
        <is>
          <t>Sobia Naz</t>
        </is>
      </c>
      <c r="H14" s="7" t="inlineStr">
        <is>
          <t>Corporate</t>
        </is>
      </c>
      <c r="I14" s="11" t="n">
        <v>6800000</v>
      </c>
      <c r="J14" s="11" t="n">
        <v>145900</v>
      </c>
      <c r="K14" s="11" t="n">
        <v>101845</v>
      </c>
      <c r="L14" s="11" t="n">
        <v>1</v>
      </c>
      <c r="M14" s="7" t="inlineStr">
        <is>
          <t>Lapsed</t>
        </is>
      </c>
    </row>
    <row r="15">
      <c r="A15" s="15" t="inlineStr">
        <is>
          <t>ADM-MSC-RWP-2024-2010</t>
        </is>
      </c>
      <c r="B15" s="41" t="n">
        <v>45573</v>
      </c>
      <c r="C15" s="15" t="inlineStr">
        <is>
          <t>Rawalpindi</t>
        </is>
      </c>
      <c r="D15" s="15" t="inlineStr">
        <is>
          <t>North</t>
        </is>
      </c>
      <c r="E15" s="15" t="inlineStr">
        <is>
          <t>Miscellaneous</t>
        </is>
      </c>
      <c r="F15" s="15" t="inlineStr">
        <is>
          <t>Agency</t>
        </is>
      </c>
      <c r="G15" s="15" t="inlineStr">
        <is>
          <t>Junaid Akram</t>
        </is>
      </c>
      <c r="H15" s="15" t="inlineStr">
        <is>
          <t>Individual</t>
        </is>
      </c>
      <c r="I15" s="14" t="n">
        <v>1200000</v>
      </c>
      <c r="J15" s="14" t="n">
        <v>20000</v>
      </c>
      <c r="K15" s="14" t="n">
        <v>15603</v>
      </c>
      <c r="L15" s="14" t="n">
        <v>1</v>
      </c>
      <c r="M15" s="15" t="inlineStr">
        <is>
          <t>Cancelled</t>
        </is>
      </c>
    </row>
    <row r="16">
      <c r="A16" s="7" t="inlineStr">
        <is>
          <t>ADM-MAR-KHI-2024-2011</t>
        </is>
      </c>
      <c r="B16" s="40" t="n">
        <v>45611</v>
      </c>
      <c r="C16" s="7" t="inlineStr">
        <is>
          <t>Karachi Main</t>
        </is>
      </c>
      <c r="D16" s="7" t="inlineStr">
        <is>
          <t>South</t>
        </is>
      </c>
      <c r="E16" s="7" t="inlineStr">
        <is>
          <t>Marine Cargo</t>
        </is>
      </c>
      <c r="F16" s="7" t="inlineStr">
        <is>
          <t>Bancassurance</t>
        </is>
      </c>
      <c r="G16" s="7" t="inlineStr">
        <is>
          <t>Hamid Raza</t>
        </is>
      </c>
      <c r="H16" s="7" t="inlineStr">
        <is>
          <t>Corporate</t>
        </is>
      </c>
      <c r="I16" s="11" t="n">
        <v>47000000</v>
      </c>
      <c r="J16" s="11" t="n">
        <v>716000</v>
      </c>
      <c r="K16" s="11" t="n">
        <v>109689</v>
      </c>
      <c r="L16" s="11" t="n">
        <v>1</v>
      </c>
      <c r="M16" s="7" t="inlineStr">
        <is>
          <t>Active</t>
        </is>
      </c>
    </row>
    <row r="17">
      <c r="A17" s="15" t="inlineStr">
        <is>
          <t>ADM-ENG-LHR-2024-2012</t>
        </is>
      </c>
      <c r="B17" s="41" t="n">
        <v>45648</v>
      </c>
      <c r="C17" s="15" t="inlineStr">
        <is>
          <t>Lahore Gulberg</t>
        </is>
      </c>
      <c r="D17" s="15" t="inlineStr">
        <is>
          <t>Central</t>
        </is>
      </c>
      <c r="E17" s="15" t="inlineStr">
        <is>
          <t>Engineering</t>
        </is>
      </c>
      <c r="F17" s="15" t="inlineStr">
        <is>
          <t>Corporate</t>
        </is>
      </c>
      <c r="G17" s="15" t="inlineStr">
        <is>
          <t>Nimra Saleem</t>
        </is>
      </c>
      <c r="H17" s="15" t="inlineStr">
        <is>
          <t>Corporate</t>
        </is>
      </c>
      <c r="I17" s="14" t="n">
        <v>28000000</v>
      </c>
      <c r="J17" s="14" t="n">
        <v>722600</v>
      </c>
      <c r="K17" s="14" t="n">
        <v>919063</v>
      </c>
      <c r="L17" s="14" t="n">
        <v>1</v>
      </c>
      <c r="M17" s="15" t="inlineStr">
        <is>
          <t>Active</t>
        </is>
      </c>
    </row>
    <row r="18">
      <c r="A18" s="7" t="inlineStr">
        <is>
          <t>ADM-FIR-ISB-2024-2013</t>
        </is>
      </c>
      <c r="B18" s="40" t="n">
        <v>45292</v>
      </c>
      <c r="C18" s="7" t="inlineStr">
        <is>
          <t>Islamabad Blue Area</t>
        </is>
      </c>
      <c r="D18" s="7" t="inlineStr">
        <is>
          <t>North</t>
        </is>
      </c>
      <c r="E18" s="7" t="inlineStr">
        <is>
          <t>Fire &amp; Property</t>
        </is>
      </c>
      <c r="F18" s="7" t="inlineStr">
        <is>
          <t>Direct</t>
        </is>
      </c>
      <c r="G18" s="7" t="inlineStr">
        <is>
          <t>Tariq Jameel</t>
        </is>
      </c>
      <c r="H18" s="7" t="inlineStr">
        <is>
          <t>Individual</t>
        </is>
      </c>
      <c r="I18" s="11" t="n">
        <v>19000000</v>
      </c>
      <c r="J18" s="11" t="n">
        <v>472900</v>
      </c>
      <c r="K18" s="11" t="n">
        <v>891308</v>
      </c>
      <c r="L18" s="11" t="n">
        <v>1</v>
      </c>
      <c r="M18" s="7" t="inlineStr">
        <is>
          <t>Renewed</t>
        </is>
      </c>
    </row>
    <row r="19">
      <c r="A19" s="15" t="inlineStr">
        <is>
          <t>ADM-TRV-FSD-2024-2014</t>
        </is>
      </c>
      <c r="B19" s="41" t="n">
        <v>45330</v>
      </c>
      <c r="C19" s="15" t="inlineStr">
        <is>
          <t>Faisalabad</t>
        </is>
      </c>
      <c r="D19" s="15" t="inlineStr">
        <is>
          <t>Central</t>
        </is>
      </c>
      <c r="E19" s="15" t="inlineStr">
        <is>
          <t>Travel</t>
        </is>
      </c>
      <c r="F19" s="15" t="inlineStr">
        <is>
          <t>Agency</t>
        </is>
      </c>
      <c r="G19" s="15" t="inlineStr">
        <is>
          <t>Nadia Hassan</t>
        </is>
      </c>
      <c r="H19" s="15" t="inlineStr">
        <is>
          <t>Corporate</t>
        </is>
      </c>
      <c r="I19" s="14" t="n">
        <v>3400000</v>
      </c>
      <c r="J19" s="14" t="n">
        <v>66300</v>
      </c>
      <c r="K19" s="14" t="n">
        <v>114579</v>
      </c>
      <c r="L19" s="14" t="n">
        <v>1</v>
      </c>
      <c r="M19" s="15" t="inlineStr">
        <is>
          <t>Lapsed</t>
        </is>
      </c>
    </row>
    <row r="20">
      <c r="A20" s="7" t="inlineStr">
        <is>
          <t>ADM-MTR-MUL-2024-2015</t>
        </is>
      </c>
      <c r="B20" s="40" t="n">
        <v>45366</v>
      </c>
      <c r="C20" s="7" t="inlineStr">
        <is>
          <t>Multan</t>
        </is>
      </c>
      <c r="D20" s="7" t="inlineStr">
        <is>
          <t>Central</t>
        </is>
      </c>
      <c r="E20" s="7" t="inlineStr">
        <is>
          <t>Motor</t>
        </is>
      </c>
      <c r="F20" s="7" t="inlineStr">
        <is>
          <t>Bancassurance</t>
        </is>
      </c>
      <c r="G20" s="7" t="inlineStr">
        <is>
          <t>Salman Shah</t>
        </is>
      </c>
      <c r="H20" s="7" t="inlineStr">
        <is>
          <t>Corporate</t>
        </is>
      </c>
      <c r="I20" s="11" t="n">
        <v>28000000</v>
      </c>
      <c r="J20" s="11" t="n">
        <v>502000</v>
      </c>
      <c r="K20" s="11" t="n">
        <v>218330</v>
      </c>
      <c r="L20" s="11" t="n">
        <v>1</v>
      </c>
      <c r="M20" s="7" t="inlineStr">
        <is>
          <t>Cancelled</t>
        </is>
      </c>
    </row>
    <row r="21">
      <c r="A21" s="15" t="inlineStr">
        <is>
          <t>ADM-HLT-PEW-2024-2016</t>
        </is>
      </c>
      <c r="B21" s="41" t="n">
        <v>45404</v>
      </c>
      <c r="C21" s="15" t="inlineStr">
        <is>
          <t>Peshawar</t>
        </is>
      </c>
      <c r="D21" s="15" t="inlineStr">
        <is>
          <t>North</t>
        </is>
      </c>
      <c r="E21" s="15" t="inlineStr">
        <is>
          <t>Health</t>
        </is>
      </c>
      <c r="F21" s="15" t="inlineStr">
        <is>
          <t>Corporate</t>
        </is>
      </c>
      <c r="G21" s="15" t="inlineStr">
        <is>
          <t>Komal Bashir</t>
        </is>
      </c>
      <c r="H21" s="15" t="inlineStr">
        <is>
          <t>Individual</t>
        </is>
      </c>
      <c r="I21" s="14" t="n">
        <v>47000000</v>
      </c>
      <c r="J21" s="14" t="n">
        <v>1011100</v>
      </c>
      <c r="K21" s="14" t="n">
        <v>1308447</v>
      </c>
      <c r="L21" s="14" t="n">
        <v>1</v>
      </c>
      <c r="M21" s="15" t="inlineStr">
        <is>
          <t>Active</t>
        </is>
      </c>
    </row>
    <row r="22">
      <c r="A22" s="7" t="inlineStr">
        <is>
          <t>ADM-MSC-QTA-2024-2017</t>
        </is>
      </c>
      <c r="B22" s="40" t="n">
        <v>45413</v>
      </c>
      <c r="C22" s="7" t="inlineStr">
        <is>
          <t>Quetta</t>
        </is>
      </c>
      <c r="D22" s="7" t="inlineStr">
        <is>
          <t>South</t>
        </is>
      </c>
      <c r="E22" s="7" t="inlineStr">
        <is>
          <t>Miscellaneous</t>
        </is>
      </c>
      <c r="F22" s="7" t="inlineStr">
        <is>
          <t>Direct</t>
        </is>
      </c>
      <c r="G22" s="7" t="inlineStr">
        <is>
          <t>Waqar Younis Khan</t>
        </is>
      </c>
      <c r="H22" s="7" t="inlineStr">
        <is>
          <t>Corporate</t>
        </is>
      </c>
      <c r="I22" s="11" t="n">
        <v>28000000</v>
      </c>
      <c r="J22" s="11" t="n">
        <v>240800</v>
      </c>
      <c r="K22" s="11" t="n">
        <v>175880</v>
      </c>
      <c r="L22" s="11" t="n">
        <v>1</v>
      </c>
      <c r="M22" s="7" t="inlineStr">
        <is>
          <t>Active</t>
        </is>
      </c>
    </row>
    <row r="23">
      <c r="A23" s="15" t="inlineStr">
        <is>
          <t>ADM-MAR-HYD-2024-2018</t>
        </is>
      </c>
      <c r="B23" s="41" t="n">
        <v>45451</v>
      </c>
      <c r="C23" s="15" t="inlineStr">
        <is>
          <t>Hyderabad</t>
        </is>
      </c>
      <c r="D23" s="15" t="inlineStr">
        <is>
          <t>South</t>
        </is>
      </c>
      <c r="E23" s="15" t="inlineStr">
        <is>
          <t>Marine Cargo</t>
        </is>
      </c>
      <c r="F23" s="15" t="inlineStr">
        <is>
          <t>Agency</t>
        </is>
      </c>
      <c r="G23" s="15" t="inlineStr">
        <is>
          <t>Amna Zubair</t>
        </is>
      </c>
      <c r="H23" s="15" t="inlineStr">
        <is>
          <t>Corporate</t>
        </is>
      </c>
      <c r="I23" s="14" t="n">
        <v>6800000</v>
      </c>
      <c r="J23" s="14" t="n">
        <v>191900</v>
      </c>
      <c r="K23" s="14" t="n">
        <v>307821</v>
      </c>
      <c r="L23" s="14" t="n">
        <v>1</v>
      </c>
      <c r="M23" s="15" t="inlineStr">
        <is>
          <t>Renewed</t>
        </is>
      </c>
    </row>
    <row r="24">
      <c r="A24" s="7" t="inlineStr">
        <is>
          <t>ADM-ENG-SKT-2024-2019</t>
        </is>
      </c>
      <c r="B24" s="40" t="n">
        <v>45488</v>
      </c>
      <c r="C24" s="7" t="inlineStr">
        <is>
          <t>Sialkot</t>
        </is>
      </c>
      <c r="D24" s="7" t="inlineStr">
        <is>
          <t>Central</t>
        </is>
      </c>
      <c r="E24" s="7" t="inlineStr">
        <is>
          <t>Engineering</t>
        </is>
      </c>
      <c r="F24" s="7" t="inlineStr">
        <is>
          <t>Bancassurance</t>
        </is>
      </c>
      <c r="G24" s="7" t="inlineStr">
        <is>
          <t>Rizwan Ali Soomro</t>
        </is>
      </c>
      <c r="H24" s="7" t="inlineStr">
        <is>
          <t>Individual</t>
        </is>
      </c>
      <c r="I24" s="11" t="n">
        <v>28000000</v>
      </c>
      <c r="J24" s="11" t="n">
        <v>576800</v>
      </c>
      <c r="K24" s="11" t="n">
        <v>942646</v>
      </c>
      <c r="L24" s="11" t="n">
        <v>1</v>
      </c>
      <c r="M24" s="7" t="inlineStr">
        <is>
          <t>Lapsed</t>
        </is>
      </c>
    </row>
    <row r="25">
      <c r="A25" s="15" t="inlineStr">
        <is>
          <t>ADM-FIR-RWP-2024-2020</t>
        </is>
      </c>
      <c r="B25" s="41" t="n">
        <v>45526</v>
      </c>
      <c r="C25" s="15" t="inlineStr">
        <is>
          <t>Rawalpindi</t>
        </is>
      </c>
      <c r="D25" s="15" t="inlineStr">
        <is>
          <t>North</t>
        </is>
      </c>
      <c r="E25" s="15" t="inlineStr">
        <is>
          <t>Fire &amp; Property</t>
        </is>
      </c>
      <c r="F25" s="15" t="inlineStr">
        <is>
          <t>Corporate</t>
        </is>
      </c>
      <c r="G25" s="15" t="inlineStr">
        <is>
          <t>Farhan Dar</t>
        </is>
      </c>
      <c r="H25" s="15" t="inlineStr">
        <is>
          <t>Corporate</t>
        </is>
      </c>
      <c r="I25" s="14" t="n">
        <v>3400000</v>
      </c>
      <c r="J25" s="14" t="n">
        <v>36800</v>
      </c>
      <c r="K25" s="14" t="n">
        <v>46076</v>
      </c>
      <c r="L25" s="14" t="n">
        <v>1</v>
      </c>
      <c r="M25" s="15" t="inlineStr">
        <is>
          <t>Cancelled</t>
        </is>
      </c>
    </row>
    <row r="26">
      <c r="A26" s="7" t="inlineStr">
        <is>
          <t>ADM-TRV-KHI-2024-2021</t>
        </is>
      </c>
      <c r="B26" s="40" t="n">
        <v>45536</v>
      </c>
      <c r="C26" s="7" t="inlineStr">
        <is>
          <t>Karachi Main</t>
        </is>
      </c>
      <c r="D26" s="7" t="inlineStr">
        <is>
          <t>South</t>
        </is>
      </c>
      <c r="E26" s="7" t="inlineStr">
        <is>
          <t>Travel</t>
        </is>
      </c>
      <c r="F26" s="7" t="inlineStr">
        <is>
          <t>Direct</t>
        </is>
      </c>
      <c r="G26" s="7" t="inlineStr">
        <is>
          <t>Sobia Naz</t>
        </is>
      </c>
      <c r="H26" s="7" t="inlineStr">
        <is>
          <t>Corporate</t>
        </is>
      </c>
      <c r="I26" s="11" t="n">
        <v>19000000</v>
      </c>
      <c r="J26" s="11" t="n">
        <v>161800</v>
      </c>
      <c r="K26" s="11" t="n">
        <v>221138</v>
      </c>
      <c r="L26" s="11" t="n">
        <v>1</v>
      </c>
      <c r="M26" s="7" t="inlineStr">
        <is>
          <t>Active</t>
        </is>
      </c>
    </row>
    <row r="27">
      <c r="A27" s="15" t="inlineStr">
        <is>
          <t>ADM-MTR-LHR-2024-2022</t>
        </is>
      </c>
      <c r="B27" s="41" t="n">
        <v>45573</v>
      </c>
      <c r="C27" s="15" t="inlineStr">
        <is>
          <t>Lahore Gulberg</t>
        </is>
      </c>
      <c r="D27" s="15" t="inlineStr">
        <is>
          <t>Central</t>
        </is>
      </c>
      <c r="E27" s="15" t="inlineStr">
        <is>
          <t>Motor</t>
        </is>
      </c>
      <c r="F27" s="15" t="inlineStr">
        <is>
          <t>Agency</t>
        </is>
      </c>
      <c r="G27" s="15" t="inlineStr">
        <is>
          <t>Junaid Akram</t>
        </is>
      </c>
      <c r="H27" s="15" t="inlineStr">
        <is>
          <t>Individual</t>
        </is>
      </c>
      <c r="I27" s="14" t="n">
        <v>72000000</v>
      </c>
      <c r="J27" s="14" t="n">
        <v>1055500</v>
      </c>
      <c r="K27" s="14" t="n">
        <v>844771</v>
      </c>
      <c r="L27" s="14" t="n">
        <v>1</v>
      </c>
      <c r="M27" s="15" t="inlineStr">
        <is>
          <t>Active</t>
        </is>
      </c>
    </row>
    <row r="28">
      <c r="A28" s="7" t="inlineStr">
        <is>
          <t>ADM-HLT-ISB-2024-2023</t>
        </is>
      </c>
      <c r="B28" s="40" t="n">
        <v>45611</v>
      </c>
      <c r="C28" s="7" t="inlineStr">
        <is>
          <t>Islamabad Blue Area</t>
        </is>
      </c>
      <c r="D28" s="7" t="inlineStr">
        <is>
          <t>North</t>
        </is>
      </c>
      <c r="E28" s="7" t="inlineStr">
        <is>
          <t>Health</t>
        </is>
      </c>
      <c r="F28" s="7" t="inlineStr">
        <is>
          <t>Bancassurance</t>
        </is>
      </c>
      <c r="G28" s="7" t="inlineStr">
        <is>
          <t>Hamid Raza</t>
        </is>
      </c>
      <c r="H28" s="7" t="inlineStr">
        <is>
          <t>Corporate</t>
        </is>
      </c>
      <c r="I28" s="11" t="n">
        <v>1200000</v>
      </c>
      <c r="J28" s="11" t="n">
        <v>6400</v>
      </c>
      <c r="K28" s="11" t="n">
        <v>498</v>
      </c>
      <c r="L28" s="11" t="n">
        <v>1</v>
      </c>
      <c r="M28" s="7" t="inlineStr">
        <is>
          <t>Renewed</t>
        </is>
      </c>
    </row>
    <row r="29">
      <c r="A29" s="15" t="inlineStr">
        <is>
          <t>ADM-MSC-FSD-2024-2024</t>
        </is>
      </c>
      <c r="B29" s="41" t="n">
        <v>45648</v>
      </c>
      <c r="C29" s="15" t="inlineStr">
        <is>
          <t>Faisalabad</t>
        </is>
      </c>
      <c r="D29" s="15" t="inlineStr">
        <is>
          <t>Central</t>
        </is>
      </c>
      <c r="E29" s="15" t="inlineStr">
        <is>
          <t>Miscellaneous</t>
        </is>
      </c>
      <c r="F29" s="15" t="inlineStr">
        <is>
          <t>Corporate</t>
        </is>
      </c>
      <c r="G29" s="15" t="inlineStr">
        <is>
          <t>Nimra Saleem</t>
        </is>
      </c>
      <c r="H29" s="15" t="inlineStr">
        <is>
          <t>Corporate</t>
        </is>
      </c>
      <c r="I29" s="14" t="n">
        <v>1200000</v>
      </c>
      <c r="J29" s="14" t="n">
        <v>33200</v>
      </c>
      <c r="K29" s="14" t="n">
        <v>32745</v>
      </c>
      <c r="L29" s="14" t="n">
        <v>1</v>
      </c>
      <c r="M29" s="15" t="inlineStr">
        <is>
          <t>Lapsed</t>
        </is>
      </c>
    </row>
    <row r="30">
      <c r="A30" s="7" t="inlineStr">
        <is>
          <t>ADM-MAR-MUL-2024-2025</t>
        </is>
      </c>
      <c r="B30" s="40" t="n">
        <v>45292</v>
      </c>
      <c r="C30" s="7" t="inlineStr">
        <is>
          <t>Multan</t>
        </is>
      </c>
      <c r="D30" s="7" t="inlineStr">
        <is>
          <t>Central</t>
        </is>
      </c>
      <c r="E30" s="7" t="inlineStr">
        <is>
          <t>Marine Cargo</t>
        </is>
      </c>
      <c r="F30" s="7" t="inlineStr">
        <is>
          <t>Direct</t>
        </is>
      </c>
      <c r="G30" s="7" t="inlineStr">
        <is>
          <t>Tariq Jameel</t>
        </is>
      </c>
      <c r="H30" s="7" t="inlineStr">
        <is>
          <t>Individual</t>
        </is>
      </c>
      <c r="I30" s="11" t="n">
        <v>11500000</v>
      </c>
      <c r="J30" s="11" t="n">
        <v>208500</v>
      </c>
      <c r="K30" s="11" t="n">
        <v>71918</v>
      </c>
      <c r="L30" s="11" t="n">
        <v>1</v>
      </c>
      <c r="M30" s="7" t="inlineStr">
        <is>
          <t>Cancelled</t>
        </is>
      </c>
    </row>
    <row r="31">
      <c r="A31" s="15" t="inlineStr">
        <is>
          <t>ADM-ENG-PEW-2024-2026</t>
        </is>
      </c>
      <c r="B31" s="41" t="n">
        <v>45330</v>
      </c>
      <c r="C31" s="15" t="inlineStr">
        <is>
          <t>Peshawar</t>
        </is>
      </c>
      <c r="D31" s="15" t="inlineStr">
        <is>
          <t>North</t>
        </is>
      </c>
      <c r="E31" s="15" t="inlineStr">
        <is>
          <t>Engineering</t>
        </is>
      </c>
      <c r="F31" s="15" t="inlineStr">
        <is>
          <t>Agency</t>
        </is>
      </c>
      <c r="G31" s="15" t="inlineStr">
        <is>
          <t>Nadia Hassan</t>
        </is>
      </c>
      <c r="H31" s="15" t="inlineStr">
        <is>
          <t>Corporate</t>
        </is>
      </c>
      <c r="I31" s="14" t="n">
        <v>1200000</v>
      </c>
      <c r="J31" s="14" t="n">
        <v>29100</v>
      </c>
      <c r="K31" s="14" t="n">
        <v>4151</v>
      </c>
      <c r="L31" s="14" t="n">
        <v>1</v>
      </c>
      <c r="M31" s="15" t="inlineStr">
        <is>
          <t>Active</t>
        </is>
      </c>
    </row>
    <row r="32">
      <c r="A32" s="7" t="inlineStr">
        <is>
          <t>ADM-FIR-QTA-2024-2027</t>
        </is>
      </c>
      <c r="B32" s="40" t="n">
        <v>45366</v>
      </c>
      <c r="C32" s="7" t="inlineStr">
        <is>
          <t>Quetta</t>
        </is>
      </c>
      <c r="D32" s="7" t="inlineStr">
        <is>
          <t>South</t>
        </is>
      </c>
      <c r="E32" s="7" t="inlineStr">
        <is>
          <t>Fire &amp; Property</t>
        </is>
      </c>
      <c r="F32" s="7" t="inlineStr">
        <is>
          <t>Bancassurance</t>
        </is>
      </c>
      <c r="G32" s="7" t="inlineStr">
        <is>
          <t>Salman Shah</t>
        </is>
      </c>
      <c r="H32" s="7" t="inlineStr">
        <is>
          <t>Corporate</t>
        </is>
      </c>
      <c r="I32" s="11" t="n">
        <v>1200000</v>
      </c>
      <c r="J32" s="11" t="n">
        <v>9500</v>
      </c>
      <c r="K32" s="11" t="n">
        <v>12702</v>
      </c>
      <c r="L32" s="11" t="n">
        <v>1</v>
      </c>
      <c r="M32" s="7" t="inlineStr">
        <is>
          <t>Active</t>
        </is>
      </c>
    </row>
    <row r="33">
      <c r="A33" s="15" t="inlineStr">
        <is>
          <t>ADM-TRV-HYD-2024-2028</t>
        </is>
      </c>
      <c r="B33" s="41" t="n">
        <v>45404</v>
      </c>
      <c r="C33" s="15" t="inlineStr">
        <is>
          <t>Hyderabad</t>
        </is>
      </c>
      <c r="D33" s="15" t="inlineStr">
        <is>
          <t>South</t>
        </is>
      </c>
      <c r="E33" s="15" t="inlineStr">
        <is>
          <t>Travel</t>
        </is>
      </c>
      <c r="F33" s="15" t="inlineStr">
        <is>
          <t>Corporate</t>
        </is>
      </c>
      <c r="G33" s="15" t="inlineStr">
        <is>
          <t>Komal Bashir</t>
        </is>
      </c>
      <c r="H33" s="15" t="inlineStr">
        <is>
          <t>Individual</t>
        </is>
      </c>
      <c r="I33" s="14" t="n">
        <v>19000000</v>
      </c>
      <c r="J33" s="14" t="n">
        <v>477300</v>
      </c>
      <c r="K33" s="14" t="n">
        <v>729502</v>
      </c>
      <c r="L33" s="14" t="n">
        <v>1</v>
      </c>
      <c r="M33" s="15" t="inlineStr">
        <is>
          <t>Renewed</t>
        </is>
      </c>
    </row>
    <row r="34">
      <c r="A34" s="7" t="inlineStr">
        <is>
          <t>ADM-MTR-SKT-2024-2029</t>
        </is>
      </c>
      <c r="B34" s="40" t="n">
        <v>45413</v>
      </c>
      <c r="C34" s="7" t="inlineStr">
        <is>
          <t>Sialkot</t>
        </is>
      </c>
      <c r="D34" s="7" t="inlineStr">
        <is>
          <t>Central</t>
        </is>
      </c>
      <c r="E34" s="7" t="inlineStr">
        <is>
          <t>Motor</t>
        </is>
      </c>
      <c r="F34" s="7" t="inlineStr">
        <is>
          <t>Direct</t>
        </is>
      </c>
      <c r="G34" s="7" t="inlineStr">
        <is>
          <t>Waqar Younis Khan</t>
        </is>
      </c>
      <c r="H34" s="7" t="inlineStr">
        <is>
          <t>Corporate</t>
        </is>
      </c>
      <c r="I34" s="11" t="n">
        <v>1200000</v>
      </c>
      <c r="J34" s="11" t="n">
        <v>29800</v>
      </c>
      <c r="K34" s="11" t="n">
        <v>28455</v>
      </c>
      <c r="L34" s="11" t="n">
        <v>1</v>
      </c>
      <c r="M34" s="7" t="inlineStr">
        <is>
          <t>Lapsed</t>
        </is>
      </c>
    </row>
    <row r="35">
      <c r="A35" s="15" t="inlineStr">
        <is>
          <t>ADM-HLT-RWP-2024-2030</t>
        </is>
      </c>
      <c r="B35" s="41" t="n">
        <v>45451</v>
      </c>
      <c r="C35" s="15" t="inlineStr">
        <is>
          <t>Rawalpindi</t>
        </is>
      </c>
      <c r="D35" s="15" t="inlineStr">
        <is>
          <t>North</t>
        </is>
      </c>
      <c r="E35" s="15" t="inlineStr">
        <is>
          <t>Health</t>
        </is>
      </c>
      <c r="F35" s="15" t="inlineStr">
        <is>
          <t>Agency</t>
        </is>
      </c>
      <c r="G35" s="15" t="inlineStr">
        <is>
          <t>Amna Zubair</t>
        </is>
      </c>
      <c r="H35" s="15" t="inlineStr">
        <is>
          <t>Corporate</t>
        </is>
      </c>
      <c r="I35" s="14" t="n">
        <v>1200000</v>
      </c>
      <c r="J35" s="14" t="n">
        <v>22700</v>
      </c>
      <c r="K35" s="14" t="n">
        <v>10619</v>
      </c>
      <c r="L35" s="14" t="n">
        <v>1</v>
      </c>
      <c r="M35" s="15" t="inlineStr">
        <is>
          <t>Cancelled</t>
        </is>
      </c>
    </row>
    <row r="36">
      <c r="A36" s="7" t="inlineStr">
        <is>
          <t>ADM-MSC-KHI-2024-2031</t>
        </is>
      </c>
      <c r="B36" s="40" t="n">
        <v>45488</v>
      </c>
      <c r="C36" s="7" t="inlineStr">
        <is>
          <t>Karachi Main</t>
        </is>
      </c>
      <c r="D36" s="7" t="inlineStr">
        <is>
          <t>South</t>
        </is>
      </c>
      <c r="E36" s="7" t="inlineStr">
        <is>
          <t>Miscellaneous</t>
        </is>
      </c>
      <c r="F36" s="7" t="inlineStr">
        <is>
          <t>Bancassurance</t>
        </is>
      </c>
      <c r="G36" s="7" t="inlineStr">
        <is>
          <t>Rizwan Ali Soomro</t>
        </is>
      </c>
      <c r="H36" s="7" t="inlineStr">
        <is>
          <t>Individual</t>
        </is>
      </c>
      <c r="I36" s="11" t="n">
        <v>47000000</v>
      </c>
      <c r="J36" s="11" t="n">
        <v>322500</v>
      </c>
      <c r="K36" s="11" t="n">
        <v>38715</v>
      </c>
      <c r="L36" s="11" t="n">
        <v>1</v>
      </c>
      <c r="M36" s="7" t="inlineStr">
        <is>
          <t>Active</t>
        </is>
      </c>
    </row>
    <row r="37">
      <c r="A37" s="15" t="inlineStr">
        <is>
          <t>ADM-MAR-LHR-2024-2032</t>
        </is>
      </c>
      <c r="B37" s="41" t="n">
        <v>45526</v>
      </c>
      <c r="C37" s="15" t="inlineStr">
        <is>
          <t>Lahore Gulberg</t>
        </is>
      </c>
      <c r="D37" s="15" t="inlineStr">
        <is>
          <t>Central</t>
        </is>
      </c>
      <c r="E37" s="15" t="inlineStr">
        <is>
          <t>Marine Cargo</t>
        </is>
      </c>
      <c r="F37" s="15" t="inlineStr">
        <is>
          <t>Corporate</t>
        </is>
      </c>
      <c r="G37" s="15" t="inlineStr">
        <is>
          <t>Farhan Dar</t>
        </is>
      </c>
      <c r="H37" s="15" t="inlineStr">
        <is>
          <t>Corporate</t>
        </is>
      </c>
      <c r="I37" s="14" t="n">
        <v>3400000</v>
      </c>
      <c r="J37" s="14" t="n">
        <v>25600</v>
      </c>
      <c r="K37" s="14" t="n">
        <v>20754</v>
      </c>
      <c r="L37" s="14" t="n">
        <v>1</v>
      </c>
      <c r="M37" s="15" t="inlineStr">
        <is>
          <t>Active</t>
        </is>
      </c>
    </row>
    <row r="38">
      <c r="A38" s="7" t="inlineStr">
        <is>
          <t>ADM-ENG-ISB-2024-2033</t>
        </is>
      </c>
      <c r="B38" s="40" t="n">
        <v>45536</v>
      </c>
      <c r="C38" s="7" t="inlineStr">
        <is>
          <t>Islamabad Blue Area</t>
        </is>
      </c>
      <c r="D38" s="7" t="inlineStr">
        <is>
          <t>North</t>
        </is>
      </c>
      <c r="E38" s="7" t="inlineStr">
        <is>
          <t>Engineering</t>
        </is>
      </c>
      <c r="F38" s="7" t="inlineStr">
        <is>
          <t>Direct</t>
        </is>
      </c>
      <c r="G38" s="7" t="inlineStr">
        <is>
          <t>Sobia Naz</t>
        </is>
      </c>
      <c r="H38" s="7" t="inlineStr">
        <is>
          <t>Corporate</t>
        </is>
      </c>
      <c r="I38" s="11" t="n">
        <v>3400000</v>
      </c>
      <c r="J38" s="11" t="n">
        <v>75400</v>
      </c>
      <c r="K38" s="11" t="n">
        <v>115086</v>
      </c>
      <c r="L38" s="11" t="n">
        <v>1</v>
      </c>
      <c r="M38" s="7" t="inlineStr">
        <is>
          <t>Renewed</t>
        </is>
      </c>
    </row>
    <row r="39">
      <c r="A39" s="15" t="inlineStr">
        <is>
          <t>ADM-FIR-FSD-2024-2034</t>
        </is>
      </c>
      <c r="B39" s="41" t="n">
        <v>45573</v>
      </c>
      <c r="C39" s="15" t="inlineStr">
        <is>
          <t>Faisalabad</t>
        </is>
      </c>
      <c r="D39" s="15" t="inlineStr">
        <is>
          <t>Central</t>
        </is>
      </c>
      <c r="E39" s="15" t="inlineStr">
        <is>
          <t>Fire &amp; Property</t>
        </is>
      </c>
      <c r="F39" s="15" t="inlineStr">
        <is>
          <t>Agency</t>
        </is>
      </c>
      <c r="G39" s="15" t="inlineStr">
        <is>
          <t>Junaid Akram</t>
        </is>
      </c>
      <c r="H39" s="15" t="inlineStr">
        <is>
          <t>Individual</t>
        </is>
      </c>
      <c r="I39" s="14" t="n">
        <v>47000000</v>
      </c>
      <c r="J39" s="14" t="n">
        <v>850800</v>
      </c>
      <c r="K39" s="14" t="n">
        <v>1420024</v>
      </c>
      <c r="L39" s="14" t="n">
        <v>1</v>
      </c>
      <c r="M39" s="15" t="inlineStr">
        <is>
          <t>Lapsed</t>
        </is>
      </c>
    </row>
    <row r="40">
      <c r="A40" s="7" t="inlineStr">
        <is>
          <t>ADM-TRV-MUL-2024-2035</t>
        </is>
      </c>
      <c r="B40" s="40" t="n">
        <v>45611</v>
      </c>
      <c r="C40" s="7" t="inlineStr">
        <is>
          <t>Multan</t>
        </is>
      </c>
      <c r="D40" s="7" t="inlineStr">
        <is>
          <t>Central</t>
        </is>
      </c>
      <c r="E40" s="7" t="inlineStr">
        <is>
          <t>Travel</t>
        </is>
      </c>
      <c r="F40" s="7" t="inlineStr">
        <is>
          <t>Bancassurance</t>
        </is>
      </c>
      <c r="G40" s="7" t="inlineStr">
        <is>
          <t>Hamid Raza</t>
        </is>
      </c>
      <c r="H40" s="7" t="inlineStr">
        <is>
          <t>Corporate</t>
        </is>
      </c>
      <c r="I40" s="11" t="n">
        <v>1200000</v>
      </c>
      <c r="J40" s="11" t="n">
        <v>33800</v>
      </c>
      <c r="K40" s="11" t="n">
        <v>30579</v>
      </c>
      <c r="L40" s="11" t="n">
        <v>1</v>
      </c>
      <c r="M40" s="7" t="inlineStr">
        <is>
          <t>Cancelled</t>
        </is>
      </c>
    </row>
    <row r="41">
      <c r="A41" s="15" t="inlineStr">
        <is>
          <t>ADM-MTR-PEW-2024-2036</t>
        </is>
      </c>
      <c r="B41" s="41" t="n">
        <v>45648</v>
      </c>
      <c r="C41" s="15" t="inlineStr">
        <is>
          <t>Peshawar</t>
        </is>
      </c>
      <c r="D41" s="15" t="inlineStr">
        <is>
          <t>North</t>
        </is>
      </c>
      <c r="E41" s="15" t="inlineStr">
        <is>
          <t>Motor</t>
        </is>
      </c>
      <c r="F41" s="15" t="inlineStr">
        <is>
          <t>Corporate</t>
        </is>
      </c>
      <c r="G41" s="15" t="inlineStr">
        <is>
          <t>Nimra Saleem</t>
        </is>
      </c>
      <c r="H41" s="15" t="inlineStr">
        <is>
          <t>Corporate</t>
        </is>
      </c>
      <c r="I41" s="14" t="n">
        <v>72000000</v>
      </c>
      <c r="J41" s="14" t="n">
        <v>565300</v>
      </c>
      <c r="K41" s="14" t="n">
        <v>412203</v>
      </c>
      <c r="L41" s="14" t="n">
        <v>1</v>
      </c>
      <c r="M41" s="15" t="inlineStr">
        <is>
          <t>Active</t>
        </is>
      </c>
    </row>
    <row r="42">
      <c r="A42" s="7" t="inlineStr">
        <is>
          <t>ADM-HLT-QTA-2024-2037</t>
        </is>
      </c>
      <c r="B42" s="40" t="n">
        <v>45292</v>
      </c>
      <c r="C42" s="7" t="inlineStr">
        <is>
          <t>Quetta</t>
        </is>
      </c>
      <c r="D42" s="7" t="inlineStr">
        <is>
          <t>South</t>
        </is>
      </c>
      <c r="E42" s="7" t="inlineStr">
        <is>
          <t>Health</t>
        </is>
      </c>
      <c r="F42" s="7" t="inlineStr">
        <is>
          <t>Direct</t>
        </is>
      </c>
      <c r="G42" s="7" t="inlineStr">
        <is>
          <t>Tariq Jameel</t>
        </is>
      </c>
      <c r="H42" s="7" t="inlineStr">
        <is>
          <t>Individual</t>
        </is>
      </c>
      <c r="I42" s="11" t="n">
        <v>6800000</v>
      </c>
      <c r="J42" s="11" t="n">
        <v>67400</v>
      </c>
      <c r="K42" s="11" t="n">
        <v>48692</v>
      </c>
      <c r="L42" s="11" t="n">
        <v>1</v>
      </c>
      <c r="M42" s="7" t="inlineStr">
        <is>
          <t>Active</t>
        </is>
      </c>
    </row>
    <row r="43">
      <c r="A43" s="15" t="inlineStr">
        <is>
          <t>ADM-MSC-HYD-2024-2038</t>
        </is>
      </c>
      <c r="B43" s="41" t="n">
        <v>45330</v>
      </c>
      <c r="C43" s="15" t="inlineStr">
        <is>
          <t>Hyderabad</t>
        </is>
      </c>
      <c r="D43" s="15" t="inlineStr">
        <is>
          <t>South</t>
        </is>
      </c>
      <c r="E43" s="15" t="inlineStr">
        <is>
          <t>Miscellaneous</t>
        </is>
      </c>
      <c r="F43" s="15" t="inlineStr">
        <is>
          <t>Agency</t>
        </is>
      </c>
      <c r="G43" s="15" t="inlineStr">
        <is>
          <t>Nadia Hassan</t>
        </is>
      </c>
      <c r="H43" s="15" t="inlineStr">
        <is>
          <t>Corporate</t>
        </is>
      </c>
      <c r="I43" s="14" t="n">
        <v>72000000</v>
      </c>
      <c r="J43" s="14" t="n">
        <v>1545300</v>
      </c>
      <c r="K43" s="14" t="n">
        <v>2216356</v>
      </c>
      <c r="L43" s="14" t="n">
        <v>1</v>
      </c>
      <c r="M43" s="15" t="inlineStr">
        <is>
          <t>Renewed</t>
        </is>
      </c>
    </row>
    <row r="44">
      <c r="A44" s="7" t="inlineStr">
        <is>
          <t>ADM-MAR-SKT-2024-2039</t>
        </is>
      </c>
      <c r="B44" s="40" t="n">
        <v>45366</v>
      </c>
      <c r="C44" s="7" t="inlineStr">
        <is>
          <t>Sialkot</t>
        </is>
      </c>
      <c r="D44" s="7" t="inlineStr">
        <is>
          <t>Central</t>
        </is>
      </c>
      <c r="E44" s="7" t="inlineStr">
        <is>
          <t>Marine Cargo</t>
        </is>
      </c>
      <c r="F44" s="7" t="inlineStr">
        <is>
          <t>Bancassurance</t>
        </is>
      </c>
      <c r="G44" s="7" t="inlineStr">
        <is>
          <t>Salman Shah</t>
        </is>
      </c>
      <c r="H44" s="7" t="inlineStr">
        <is>
          <t>Corporate</t>
        </is>
      </c>
      <c r="I44" s="11" t="n">
        <v>6800000</v>
      </c>
      <c r="J44" s="11" t="n">
        <v>69600</v>
      </c>
      <c r="K44" s="11" t="n">
        <v>27900</v>
      </c>
      <c r="L44" s="11" t="n">
        <v>1</v>
      </c>
      <c r="M44" s="7" t="inlineStr">
        <is>
          <t>Lapsed</t>
        </is>
      </c>
    </row>
    <row r="45">
      <c r="A45" s="15" t="inlineStr">
        <is>
          <t>ADM-ENG-RWP-2024-2040</t>
        </is>
      </c>
      <c r="B45" s="41" t="n">
        <v>45404</v>
      </c>
      <c r="C45" s="15" t="inlineStr">
        <is>
          <t>Rawalpindi</t>
        </is>
      </c>
      <c r="D45" s="15" t="inlineStr">
        <is>
          <t>North</t>
        </is>
      </c>
      <c r="E45" s="15" t="inlineStr">
        <is>
          <t>Engineering</t>
        </is>
      </c>
      <c r="F45" s="15" t="inlineStr">
        <is>
          <t>Corporate</t>
        </is>
      </c>
      <c r="G45" s="15" t="inlineStr">
        <is>
          <t>Komal Bashir</t>
        </is>
      </c>
      <c r="H45" s="15" t="inlineStr">
        <is>
          <t>Individual</t>
        </is>
      </c>
      <c r="I45" s="14" t="n">
        <v>19000000</v>
      </c>
      <c r="J45" s="14" t="n">
        <v>342100</v>
      </c>
      <c r="K45" s="14" t="n">
        <v>194150</v>
      </c>
      <c r="L45" s="14" t="n">
        <v>1</v>
      </c>
      <c r="M45" s="15" t="inlineStr">
        <is>
          <t>Cancelled</t>
        </is>
      </c>
    </row>
    <row r="46">
      <c r="A46" s="7" t="inlineStr">
        <is>
          <t>ADM-FIR-KHI-2024-2041</t>
        </is>
      </c>
      <c r="B46" s="40" t="n">
        <v>45413</v>
      </c>
      <c r="C46" s="7" t="inlineStr">
        <is>
          <t>Karachi Main</t>
        </is>
      </c>
      <c r="D46" s="7" t="inlineStr">
        <is>
          <t>South</t>
        </is>
      </c>
      <c r="E46" s="7" t="inlineStr">
        <is>
          <t>Fire &amp; Property</t>
        </is>
      </c>
      <c r="F46" s="7" t="inlineStr">
        <is>
          <t>Direct</t>
        </is>
      </c>
      <c r="G46" s="7" t="inlineStr">
        <is>
          <t>Waqar Younis Khan</t>
        </is>
      </c>
      <c r="H46" s="7" t="inlineStr">
        <is>
          <t>Corporate</t>
        </is>
      </c>
      <c r="I46" s="11" t="n">
        <v>1200000</v>
      </c>
      <c r="J46" s="11" t="n">
        <v>33100</v>
      </c>
      <c r="K46" s="11" t="n">
        <v>22602</v>
      </c>
      <c r="L46" s="11" t="n">
        <v>1</v>
      </c>
      <c r="M46" s="7" t="inlineStr">
        <is>
          <t>Active</t>
        </is>
      </c>
    </row>
    <row r="47">
      <c r="A47" s="15" t="inlineStr">
        <is>
          <t>ADM-TRV-LHR-2024-2042</t>
        </is>
      </c>
      <c r="B47" s="41" t="n">
        <v>45451</v>
      </c>
      <c r="C47" s="15" t="inlineStr">
        <is>
          <t>Lahore Gulberg</t>
        </is>
      </c>
      <c r="D47" s="15" t="inlineStr">
        <is>
          <t>Central</t>
        </is>
      </c>
      <c r="E47" s="15" t="inlineStr">
        <is>
          <t>Travel</t>
        </is>
      </c>
      <c r="F47" s="15" t="inlineStr">
        <is>
          <t>Agency</t>
        </is>
      </c>
      <c r="G47" s="15" t="inlineStr">
        <is>
          <t>Amna Zubair</t>
        </is>
      </c>
      <c r="H47" s="15" t="inlineStr">
        <is>
          <t>Corporate</t>
        </is>
      </c>
      <c r="I47" s="14" t="n">
        <v>1200000</v>
      </c>
      <c r="J47" s="14" t="n">
        <v>33900</v>
      </c>
      <c r="K47" s="14" t="n">
        <v>38937</v>
      </c>
      <c r="L47" s="14" t="n">
        <v>1</v>
      </c>
      <c r="M47" s="15" t="inlineStr">
        <is>
          <t>Active</t>
        </is>
      </c>
    </row>
    <row r="48">
      <c r="A48" s="7" t="inlineStr">
        <is>
          <t>ADM-MTR-ISB-2024-2043</t>
        </is>
      </c>
      <c r="B48" s="40" t="n">
        <v>45488</v>
      </c>
      <c r="C48" s="7" t="inlineStr">
        <is>
          <t>Islamabad Blue Area</t>
        </is>
      </c>
      <c r="D48" s="7" t="inlineStr">
        <is>
          <t>North</t>
        </is>
      </c>
      <c r="E48" s="7" t="inlineStr">
        <is>
          <t>Motor</t>
        </is>
      </c>
      <c r="F48" s="7" t="inlineStr">
        <is>
          <t>Bancassurance</t>
        </is>
      </c>
      <c r="G48" s="7" t="inlineStr">
        <is>
          <t>Rizwan Ali Soomro</t>
        </is>
      </c>
      <c r="H48" s="7" t="inlineStr">
        <is>
          <t>Individual</t>
        </is>
      </c>
      <c r="I48" s="11" t="n">
        <v>1200000</v>
      </c>
      <c r="J48" s="11" t="n">
        <v>32500</v>
      </c>
      <c r="K48" s="11" t="n">
        <v>832</v>
      </c>
      <c r="L48" s="11" t="n">
        <v>1</v>
      </c>
      <c r="M48" s="7" t="inlineStr">
        <is>
          <t>Renewed</t>
        </is>
      </c>
    </row>
    <row r="49">
      <c r="A49" s="15" t="inlineStr">
        <is>
          <t>ADM-HLT-FSD-2024-2044</t>
        </is>
      </c>
      <c r="B49" s="41" t="n">
        <v>45526</v>
      </c>
      <c r="C49" s="15" t="inlineStr">
        <is>
          <t>Faisalabad</t>
        </is>
      </c>
      <c r="D49" s="15" t="inlineStr">
        <is>
          <t>Central</t>
        </is>
      </c>
      <c r="E49" s="15" t="inlineStr">
        <is>
          <t>Health</t>
        </is>
      </c>
      <c r="F49" s="15" t="inlineStr">
        <is>
          <t>Corporate</t>
        </is>
      </c>
      <c r="G49" s="15" t="inlineStr">
        <is>
          <t>Farhan Dar</t>
        </is>
      </c>
      <c r="H49" s="15" t="inlineStr">
        <is>
          <t>Corporate</t>
        </is>
      </c>
      <c r="I49" s="14" t="n">
        <v>19000000</v>
      </c>
      <c r="J49" s="14" t="n">
        <v>533700</v>
      </c>
      <c r="K49" s="14" t="n">
        <v>328720</v>
      </c>
      <c r="L49" s="14" t="n">
        <v>1</v>
      </c>
      <c r="M49" s="15" t="inlineStr">
        <is>
          <t>Lapsed</t>
        </is>
      </c>
    </row>
    <row r="50">
      <c r="A50" s="7" t="inlineStr">
        <is>
          <t>ADM-MSC-MUL-2024-2045</t>
        </is>
      </c>
      <c r="B50" s="40" t="n">
        <v>45536</v>
      </c>
      <c r="C50" s="7" t="inlineStr">
        <is>
          <t>Multan</t>
        </is>
      </c>
      <c r="D50" s="7" t="inlineStr">
        <is>
          <t>Central</t>
        </is>
      </c>
      <c r="E50" s="7" t="inlineStr">
        <is>
          <t>Miscellaneous</t>
        </is>
      </c>
      <c r="F50" s="7" t="inlineStr">
        <is>
          <t>Direct</t>
        </is>
      </c>
      <c r="G50" s="7" t="inlineStr">
        <is>
          <t>Sobia Naz</t>
        </is>
      </c>
      <c r="H50" s="7" t="inlineStr">
        <is>
          <t>Corporate</t>
        </is>
      </c>
      <c r="I50" s="11" t="n">
        <v>6800000</v>
      </c>
      <c r="J50" s="11" t="n">
        <v>98700</v>
      </c>
      <c r="K50" s="11" t="n">
        <v>82186</v>
      </c>
      <c r="L50" s="11" t="n">
        <v>1</v>
      </c>
      <c r="M50" s="7" t="inlineStr">
        <is>
          <t>Cancelled</t>
        </is>
      </c>
    </row>
    <row r="51">
      <c r="A51" s="15" t="inlineStr">
        <is>
          <t>ADM-MAR-PEW-2024-2046</t>
        </is>
      </c>
      <c r="B51" s="41" t="n">
        <v>45573</v>
      </c>
      <c r="C51" s="15" t="inlineStr">
        <is>
          <t>Peshawar</t>
        </is>
      </c>
      <c r="D51" s="15" t="inlineStr">
        <is>
          <t>North</t>
        </is>
      </c>
      <c r="E51" s="15" t="inlineStr">
        <is>
          <t>Marine Cargo</t>
        </is>
      </c>
      <c r="F51" s="15" t="inlineStr">
        <is>
          <t>Agency</t>
        </is>
      </c>
      <c r="G51" s="15" t="inlineStr">
        <is>
          <t>Junaid Akram</t>
        </is>
      </c>
      <c r="H51" s="15" t="inlineStr">
        <is>
          <t>Individual</t>
        </is>
      </c>
      <c r="I51" s="14" t="n">
        <v>6800000</v>
      </c>
      <c r="J51" s="14" t="n">
        <v>86800</v>
      </c>
      <c r="K51" s="14" t="n">
        <v>159241</v>
      </c>
      <c r="L51" s="14" t="n">
        <v>1</v>
      </c>
      <c r="M51" s="15" t="inlineStr">
        <is>
          <t>Active</t>
        </is>
      </c>
    </row>
    <row r="52">
      <c r="A52" s="7" t="inlineStr">
        <is>
          <t>ADM-ENG-QTA-2024-2047</t>
        </is>
      </c>
      <c r="B52" s="40" t="n">
        <v>45611</v>
      </c>
      <c r="C52" s="7" t="inlineStr">
        <is>
          <t>Quetta</t>
        </is>
      </c>
      <c r="D52" s="7" t="inlineStr">
        <is>
          <t>South</t>
        </is>
      </c>
      <c r="E52" s="7" t="inlineStr">
        <is>
          <t>Engineering</t>
        </is>
      </c>
      <c r="F52" s="7" t="inlineStr">
        <is>
          <t>Bancassurance</t>
        </is>
      </c>
      <c r="G52" s="7" t="inlineStr">
        <is>
          <t>Hamid Raza</t>
        </is>
      </c>
      <c r="H52" s="7" t="inlineStr">
        <is>
          <t>Corporate</t>
        </is>
      </c>
      <c r="I52" s="11" t="n">
        <v>11500000</v>
      </c>
      <c r="J52" s="11" t="n">
        <v>241200</v>
      </c>
      <c r="K52" s="11" t="n">
        <v>123144</v>
      </c>
      <c r="L52" s="11" t="n">
        <v>1</v>
      </c>
      <c r="M52" s="7" t="inlineStr">
        <is>
          <t>Active</t>
        </is>
      </c>
    </row>
    <row r="53">
      <c r="A53" s="15" t="inlineStr">
        <is>
          <t>ADM-FIR-HYD-2024-2048</t>
        </is>
      </c>
      <c r="B53" s="41" t="n">
        <v>45648</v>
      </c>
      <c r="C53" s="15" t="inlineStr">
        <is>
          <t>Hyderabad</t>
        </is>
      </c>
      <c r="D53" s="15" t="inlineStr">
        <is>
          <t>South</t>
        </is>
      </c>
      <c r="E53" s="15" t="inlineStr">
        <is>
          <t>Fire &amp; Property</t>
        </is>
      </c>
      <c r="F53" s="15" t="inlineStr">
        <is>
          <t>Corporate</t>
        </is>
      </c>
      <c r="G53" s="15" t="inlineStr">
        <is>
          <t>Nimra Saleem</t>
        </is>
      </c>
      <c r="H53" s="15" t="inlineStr">
        <is>
          <t>Corporate</t>
        </is>
      </c>
      <c r="I53" s="14" t="n">
        <v>72000000</v>
      </c>
      <c r="J53" s="14" t="n">
        <v>750700</v>
      </c>
      <c r="K53" s="14" t="n">
        <v>1310060</v>
      </c>
      <c r="L53" s="14" t="n">
        <v>1</v>
      </c>
      <c r="M53" s="15" t="inlineStr">
        <is>
          <t>Renewed</t>
        </is>
      </c>
    </row>
    <row r="54">
      <c r="A54" s="7" t="inlineStr">
        <is>
          <t>ADM-TRV-SKT-2024-2049</t>
        </is>
      </c>
      <c r="B54" s="40" t="n">
        <v>45292</v>
      </c>
      <c r="C54" s="7" t="inlineStr">
        <is>
          <t>Sialkot</t>
        </is>
      </c>
      <c r="D54" s="7" t="inlineStr">
        <is>
          <t>Central</t>
        </is>
      </c>
      <c r="E54" s="7" t="inlineStr">
        <is>
          <t>Travel</t>
        </is>
      </c>
      <c r="F54" s="7" t="inlineStr">
        <is>
          <t>Direct</t>
        </is>
      </c>
      <c r="G54" s="7" t="inlineStr">
        <is>
          <t>Tariq Jameel</t>
        </is>
      </c>
      <c r="H54" s="7" t="inlineStr">
        <is>
          <t>Individual</t>
        </is>
      </c>
      <c r="I54" s="11" t="n">
        <v>72000000</v>
      </c>
      <c r="J54" s="11" t="n">
        <v>1755700</v>
      </c>
      <c r="K54" s="11" t="n">
        <v>112983</v>
      </c>
      <c r="L54" s="11" t="n">
        <v>1</v>
      </c>
      <c r="M54" s="7" t="inlineStr">
        <is>
          <t>Lapsed</t>
        </is>
      </c>
    </row>
    <row r="55">
      <c r="A55" s="15" t="inlineStr">
        <is>
          <t>ADM-MTR-RWP-2024-2050</t>
        </is>
      </c>
      <c r="B55" s="41" t="n">
        <v>45330</v>
      </c>
      <c r="C55" s="15" t="inlineStr">
        <is>
          <t>Rawalpindi</t>
        </is>
      </c>
      <c r="D55" s="15" t="inlineStr">
        <is>
          <t>North</t>
        </is>
      </c>
      <c r="E55" s="15" t="inlineStr">
        <is>
          <t>Motor</t>
        </is>
      </c>
      <c r="F55" s="15" t="inlineStr">
        <is>
          <t>Agency</t>
        </is>
      </c>
      <c r="G55" s="15" t="inlineStr">
        <is>
          <t>Nadia Hassan</t>
        </is>
      </c>
      <c r="H55" s="15" t="inlineStr">
        <is>
          <t>Corporate</t>
        </is>
      </c>
      <c r="I55" s="14" t="n">
        <v>1200000</v>
      </c>
      <c r="J55" s="14" t="n">
        <v>9200</v>
      </c>
      <c r="K55" s="14" t="n">
        <v>10507</v>
      </c>
      <c r="L55" s="14" t="n">
        <v>1</v>
      </c>
      <c r="M55" s="15" t="inlineStr">
        <is>
          <t>Cancelled</t>
        </is>
      </c>
    </row>
    <row r="56">
      <c r="A56" s="7" t="inlineStr">
        <is>
          <t>ADM-HLT-KHI-2024-2051</t>
        </is>
      </c>
      <c r="B56" s="40" t="n">
        <v>45366</v>
      </c>
      <c r="C56" s="7" t="inlineStr">
        <is>
          <t>Karachi Main</t>
        </is>
      </c>
      <c r="D56" s="7" t="inlineStr">
        <is>
          <t>South</t>
        </is>
      </c>
      <c r="E56" s="7" t="inlineStr">
        <is>
          <t>Health</t>
        </is>
      </c>
      <c r="F56" s="7" t="inlineStr">
        <is>
          <t>Bancassurance</t>
        </is>
      </c>
      <c r="G56" s="7" t="inlineStr">
        <is>
          <t>Salman Shah</t>
        </is>
      </c>
      <c r="H56" s="7" t="inlineStr">
        <is>
          <t>Corporate</t>
        </is>
      </c>
      <c r="I56" s="11" t="n">
        <v>1200000</v>
      </c>
      <c r="J56" s="11" t="n">
        <v>27200</v>
      </c>
      <c r="K56" s="11" t="n">
        <v>43127</v>
      </c>
      <c r="L56" s="11" t="n">
        <v>1</v>
      </c>
      <c r="M56" s="7" t="inlineStr">
        <is>
          <t>Active</t>
        </is>
      </c>
    </row>
    <row r="57">
      <c r="A57" s="15" t="inlineStr">
        <is>
          <t>ADM-MSC-LHR-2024-2052</t>
        </is>
      </c>
      <c r="B57" s="41" t="n">
        <v>45404</v>
      </c>
      <c r="C57" s="15" t="inlineStr">
        <is>
          <t>Lahore Gulberg</t>
        </is>
      </c>
      <c r="D57" s="15" t="inlineStr">
        <is>
          <t>Central</t>
        </is>
      </c>
      <c r="E57" s="15" t="inlineStr">
        <is>
          <t>Miscellaneous</t>
        </is>
      </c>
      <c r="F57" s="15" t="inlineStr">
        <is>
          <t>Corporate</t>
        </is>
      </c>
      <c r="G57" s="15" t="inlineStr">
        <is>
          <t>Komal Bashir</t>
        </is>
      </c>
      <c r="H57" s="15" t="inlineStr">
        <is>
          <t>Individual</t>
        </is>
      </c>
      <c r="I57" s="14" t="n">
        <v>47000000</v>
      </c>
      <c r="J57" s="14" t="n">
        <v>529800</v>
      </c>
      <c r="K57" s="14" t="n">
        <v>256933</v>
      </c>
      <c r="L57" s="14" t="n">
        <v>1</v>
      </c>
      <c r="M57" s="15" t="inlineStr">
        <is>
          <t>Active</t>
        </is>
      </c>
    </row>
    <row r="58">
      <c r="A58" s="7" t="inlineStr">
        <is>
          <t>ADM-MAR-ISB-2024-2053</t>
        </is>
      </c>
      <c r="B58" s="40" t="n">
        <v>45413</v>
      </c>
      <c r="C58" s="7" t="inlineStr">
        <is>
          <t>Islamabad Blue Area</t>
        </is>
      </c>
      <c r="D58" s="7" t="inlineStr">
        <is>
          <t>North</t>
        </is>
      </c>
      <c r="E58" s="7" t="inlineStr">
        <is>
          <t>Marine Cargo</t>
        </is>
      </c>
      <c r="F58" s="7" t="inlineStr">
        <is>
          <t>Direct</t>
        </is>
      </c>
      <c r="G58" s="7" t="inlineStr">
        <is>
          <t>Waqar Younis Khan</t>
        </is>
      </c>
      <c r="H58" s="7" t="inlineStr">
        <is>
          <t>Corporate</t>
        </is>
      </c>
      <c r="I58" s="11" t="n">
        <v>72000000</v>
      </c>
      <c r="J58" s="11" t="n">
        <v>1845200</v>
      </c>
      <c r="K58" s="11" t="n">
        <v>901690</v>
      </c>
      <c r="L58" s="11" t="n">
        <v>1</v>
      </c>
      <c r="M58" s="7" t="inlineStr">
        <is>
          <t>Renewed</t>
        </is>
      </c>
    </row>
    <row r="59">
      <c r="A59" s="15" t="inlineStr">
        <is>
          <t>ADM-ENG-FSD-2024-2054</t>
        </is>
      </c>
      <c r="B59" s="41" t="n">
        <v>45451</v>
      </c>
      <c r="C59" s="15" t="inlineStr">
        <is>
          <t>Faisalabad</t>
        </is>
      </c>
      <c r="D59" s="15" t="inlineStr">
        <is>
          <t>Central</t>
        </is>
      </c>
      <c r="E59" s="15" t="inlineStr">
        <is>
          <t>Engineering</t>
        </is>
      </c>
      <c r="F59" s="15" t="inlineStr">
        <is>
          <t>Agency</t>
        </is>
      </c>
      <c r="G59" s="15" t="inlineStr">
        <is>
          <t>Amna Zubair</t>
        </is>
      </c>
      <c r="H59" s="15" t="inlineStr">
        <is>
          <t>Corporate</t>
        </is>
      </c>
      <c r="I59" s="14" t="n">
        <v>72000000</v>
      </c>
      <c r="J59" s="14" t="n">
        <v>439500</v>
      </c>
      <c r="K59" s="14" t="n">
        <v>142358</v>
      </c>
      <c r="L59" s="14" t="n">
        <v>1</v>
      </c>
      <c r="M59" s="15" t="inlineStr">
        <is>
          <t>Lapsed</t>
        </is>
      </c>
    </row>
    <row r="60">
      <c r="A60" s="7" t="inlineStr">
        <is>
          <t>ADM-FIR-MUL-2024-2055</t>
        </is>
      </c>
      <c r="B60" s="40" t="n">
        <v>45488</v>
      </c>
      <c r="C60" s="7" t="inlineStr">
        <is>
          <t>Multan</t>
        </is>
      </c>
      <c r="D60" s="7" t="inlineStr">
        <is>
          <t>Central</t>
        </is>
      </c>
      <c r="E60" s="7" t="inlineStr">
        <is>
          <t>Fire &amp; Property</t>
        </is>
      </c>
      <c r="F60" s="7" t="inlineStr">
        <is>
          <t>Bancassurance</t>
        </is>
      </c>
      <c r="G60" s="7" t="inlineStr">
        <is>
          <t>Rizwan Ali Soomro</t>
        </is>
      </c>
      <c r="H60" s="7" t="inlineStr">
        <is>
          <t>Individual</t>
        </is>
      </c>
      <c r="I60" s="11" t="n">
        <v>72000000</v>
      </c>
      <c r="J60" s="11" t="n">
        <v>1904500</v>
      </c>
      <c r="K60" s="11" t="n">
        <v>2127168</v>
      </c>
      <c r="L60" s="11" t="n">
        <v>1</v>
      </c>
      <c r="M60" s="7" t="inlineStr">
        <is>
          <t>Cancelled</t>
        </is>
      </c>
    </row>
    <row r="61">
      <c r="A61" s="15" t="inlineStr">
        <is>
          <t>ADM-TRV-PEW-2024-2056</t>
        </is>
      </c>
      <c r="B61" s="41" t="n">
        <v>45526</v>
      </c>
      <c r="C61" s="15" t="inlineStr">
        <is>
          <t>Peshawar</t>
        </is>
      </c>
      <c r="D61" s="15" t="inlineStr">
        <is>
          <t>North</t>
        </is>
      </c>
      <c r="E61" s="15" t="inlineStr">
        <is>
          <t>Travel</t>
        </is>
      </c>
      <c r="F61" s="15" t="inlineStr">
        <is>
          <t>Corporate</t>
        </is>
      </c>
      <c r="G61" s="15" t="inlineStr">
        <is>
          <t>Farhan Dar</t>
        </is>
      </c>
      <c r="H61" s="15" t="inlineStr">
        <is>
          <t>Corporate</t>
        </is>
      </c>
      <c r="I61" s="14" t="n">
        <v>72000000</v>
      </c>
      <c r="J61" s="14" t="n">
        <v>2216000</v>
      </c>
      <c r="K61" s="14" t="n">
        <v>844750</v>
      </c>
      <c r="L61" s="14" t="n">
        <v>1</v>
      </c>
      <c r="M61" s="15" t="inlineStr">
        <is>
          <t>Active</t>
        </is>
      </c>
    </row>
    <row r="62">
      <c r="A62" s="7" t="inlineStr">
        <is>
          <t>ADM-MTR-QTA-2024-2057</t>
        </is>
      </c>
      <c r="B62" s="40" t="n">
        <v>45536</v>
      </c>
      <c r="C62" s="7" t="inlineStr">
        <is>
          <t>Quetta</t>
        </is>
      </c>
      <c r="D62" s="7" t="inlineStr">
        <is>
          <t>South</t>
        </is>
      </c>
      <c r="E62" s="7" t="inlineStr">
        <is>
          <t>Motor</t>
        </is>
      </c>
      <c r="F62" s="7" t="inlineStr">
        <is>
          <t>Direct</t>
        </is>
      </c>
      <c r="G62" s="7" t="inlineStr">
        <is>
          <t>Sobia Naz</t>
        </is>
      </c>
      <c r="H62" s="7" t="inlineStr">
        <is>
          <t>Corporate</t>
        </is>
      </c>
      <c r="I62" s="11" t="n">
        <v>6800000</v>
      </c>
      <c r="J62" s="11" t="n">
        <v>205000</v>
      </c>
      <c r="K62" s="11" t="n">
        <v>340836</v>
      </c>
      <c r="L62" s="11" t="n">
        <v>1</v>
      </c>
      <c r="M62" s="7" t="inlineStr">
        <is>
          <t>Active</t>
        </is>
      </c>
    </row>
    <row r="63">
      <c r="A63" s="15" t="inlineStr">
        <is>
          <t>ADM-HLT-HYD-2024-2058</t>
        </is>
      </c>
      <c r="B63" s="41" t="n">
        <v>45573</v>
      </c>
      <c r="C63" s="15" t="inlineStr">
        <is>
          <t>Hyderabad</t>
        </is>
      </c>
      <c r="D63" s="15" t="inlineStr">
        <is>
          <t>South</t>
        </is>
      </c>
      <c r="E63" s="15" t="inlineStr">
        <is>
          <t>Health</t>
        </is>
      </c>
      <c r="F63" s="15" t="inlineStr">
        <is>
          <t>Agency</t>
        </is>
      </c>
      <c r="G63" s="15" t="inlineStr">
        <is>
          <t>Junaid Akram</t>
        </is>
      </c>
      <c r="H63" s="15" t="inlineStr">
        <is>
          <t>Individual</t>
        </is>
      </c>
      <c r="I63" s="14" t="n">
        <v>47000000</v>
      </c>
      <c r="J63" s="14" t="n">
        <v>625000</v>
      </c>
      <c r="K63" s="14" t="n">
        <v>389202</v>
      </c>
      <c r="L63" s="14" t="n">
        <v>1</v>
      </c>
      <c r="M63" s="15" t="inlineStr">
        <is>
          <t>Renewed</t>
        </is>
      </c>
    </row>
    <row r="64">
      <c r="A64" s="7" t="inlineStr">
        <is>
          <t>ADM-MSC-SKT-2024-2059</t>
        </is>
      </c>
      <c r="B64" s="40" t="n">
        <v>45611</v>
      </c>
      <c r="C64" s="7" t="inlineStr">
        <is>
          <t>Sialkot</t>
        </is>
      </c>
      <c r="D64" s="7" t="inlineStr">
        <is>
          <t>Central</t>
        </is>
      </c>
      <c r="E64" s="7" t="inlineStr">
        <is>
          <t>Miscellaneous</t>
        </is>
      </c>
      <c r="F64" s="7" t="inlineStr">
        <is>
          <t>Bancassurance</t>
        </is>
      </c>
      <c r="G64" s="7" t="inlineStr">
        <is>
          <t>Hamid Raza</t>
        </is>
      </c>
      <c r="H64" s="7" t="inlineStr">
        <is>
          <t>Corporate</t>
        </is>
      </c>
      <c r="I64" s="11" t="n">
        <v>28000000</v>
      </c>
      <c r="J64" s="11" t="n">
        <v>848100</v>
      </c>
      <c r="K64" s="11" t="n">
        <v>1353456</v>
      </c>
      <c r="L64" s="11" t="n">
        <v>1</v>
      </c>
      <c r="M64" s="7" t="inlineStr">
        <is>
          <t>Lapsed</t>
        </is>
      </c>
    </row>
    <row r="65">
      <c r="A65" s="15" t="inlineStr">
        <is>
          <t>ADM-MAR-RWP-2024-2060</t>
        </is>
      </c>
      <c r="B65" s="41" t="n">
        <v>45648</v>
      </c>
      <c r="C65" s="15" t="inlineStr">
        <is>
          <t>Rawalpindi</t>
        </is>
      </c>
      <c r="D65" s="15" t="inlineStr">
        <is>
          <t>North</t>
        </is>
      </c>
      <c r="E65" s="15" t="inlineStr">
        <is>
          <t>Marine Cargo</t>
        </is>
      </c>
      <c r="F65" s="15" t="inlineStr">
        <is>
          <t>Corporate</t>
        </is>
      </c>
      <c r="G65" s="15" t="inlineStr">
        <is>
          <t>Nimra Saleem</t>
        </is>
      </c>
      <c r="H65" s="15" t="inlineStr">
        <is>
          <t>Corporate</t>
        </is>
      </c>
      <c r="I65" s="14" t="n">
        <v>19000000</v>
      </c>
      <c r="J65" s="14" t="n">
        <v>293100</v>
      </c>
      <c r="K65" s="14" t="n">
        <v>355754</v>
      </c>
      <c r="L65" s="14" t="n">
        <v>1</v>
      </c>
      <c r="M65" s="15" t="inlineStr">
        <is>
          <t>Cancelled</t>
        </is>
      </c>
    </row>
    <row r="66">
      <c r="A66" s="7" t="inlineStr">
        <is>
          <t>ADM-ENG-KHI-2024-2061</t>
        </is>
      </c>
      <c r="B66" s="40" t="n">
        <v>45292</v>
      </c>
      <c r="C66" s="7" t="inlineStr">
        <is>
          <t>Karachi Main</t>
        </is>
      </c>
      <c r="D66" s="7" t="inlineStr">
        <is>
          <t>South</t>
        </is>
      </c>
      <c r="E66" s="7" t="inlineStr">
        <is>
          <t>Engineering</t>
        </is>
      </c>
      <c r="F66" s="7" t="inlineStr">
        <is>
          <t>Direct</t>
        </is>
      </c>
      <c r="G66" s="7" t="inlineStr">
        <is>
          <t>Tariq Jameel</t>
        </is>
      </c>
      <c r="H66" s="7" t="inlineStr">
        <is>
          <t>Individual</t>
        </is>
      </c>
      <c r="I66" s="11" t="n">
        <v>3400000</v>
      </c>
      <c r="J66" s="11" t="n">
        <v>99500</v>
      </c>
      <c r="K66" s="11" t="n">
        <v>58895</v>
      </c>
      <c r="L66" s="11" t="n">
        <v>1</v>
      </c>
      <c r="M66" s="7" t="inlineStr">
        <is>
          <t>Active</t>
        </is>
      </c>
    </row>
    <row r="67">
      <c r="A67" s="15" t="inlineStr">
        <is>
          <t>ADM-FIR-LHR-2024-2062</t>
        </is>
      </c>
      <c r="B67" s="41" t="n">
        <v>45330</v>
      </c>
      <c r="C67" s="15" t="inlineStr">
        <is>
          <t>Lahore Gulberg</t>
        </is>
      </c>
      <c r="D67" s="15" t="inlineStr">
        <is>
          <t>Central</t>
        </is>
      </c>
      <c r="E67" s="15" t="inlineStr">
        <is>
          <t>Fire &amp; Property</t>
        </is>
      </c>
      <c r="F67" s="15" t="inlineStr">
        <is>
          <t>Agency</t>
        </is>
      </c>
      <c r="G67" s="15" t="inlineStr">
        <is>
          <t>Nadia Hassan</t>
        </is>
      </c>
      <c r="H67" s="15" t="inlineStr">
        <is>
          <t>Corporate</t>
        </is>
      </c>
      <c r="I67" s="14" t="n">
        <v>72000000</v>
      </c>
      <c r="J67" s="14" t="n">
        <v>482300</v>
      </c>
      <c r="K67" s="14" t="n">
        <v>734148</v>
      </c>
      <c r="L67" s="14" t="n">
        <v>1</v>
      </c>
      <c r="M67" s="15" t="inlineStr">
        <is>
          <t>Active</t>
        </is>
      </c>
    </row>
    <row r="68">
      <c r="A68" s="7" t="inlineStr">
        <is>
          <t>ADM-TRV-ISB-2024-2063</t>
        </is>
      </c>
      <c r="B68" s="40" t="n">
        <v>45366</v>
      </c>
      <c r="C68" s="7" t="inlineStr">
        <is>
          <t>Islamabad Blue Area</t>
        </is>
      </c>
      <c r="D68" s="7" t="inlineStr">
        <is>
          <t>North</t>
        </is>
      </c>
      <c r="E68" s="7" t="inlineStr">
        <is>
          <t>Travel</t>
        </is>
      </c>
      <c r="F68" s="7" t="inlineStr">
        <is>
          <t>Bancassurance</t>
        </is>
      </c>
      <c r="G68" s="7" t="inlineStr">
        <is>
          <t>Salman Shah</t>
        </is>
      </c>
      <c r="H68" s="7" t="inlineStr">
        <is>
          <t>Corporate</t>
        </is>
      </c>
      <c r="I68" s="11" t="n">
        <v>47000000</v>
      </c>
      <c r="J68" s="11" t="n">
        <v>829800</v>
      </c>
      <c r="K68" s="11" t="n">
        <v>459043</v>
      </c>
      <c r="L68" s="11" t="n">
        <v>1</v>
      </c>
      <c r="M68" s="7" t="inlineStr">
        <is>
          <t>Renewed</t>
        </is>
      </c>
    </row>
    <row r="69">
      <c r="A69" s="15" t="inlineStr">
        <is>
          <t>ADM-MTR-FSD-2024-2064</t>
        </is>
      </c>
      <c r="B69" s="41" t="n">
        <v>45404</v>
      </c>
      <c r="C69" s="15" t="inlineStr">
        <is>
          <t>Faisalabad</t>
        </is>
      </c>
      <c r="D69" s="15" t="inlineStr">
        <is>
          <t>Central</t>
        </is>
      </c>
      <c r="E69" s="15" t="inlineStr">
        <is>
          <t>Motor</t>
        </is>
      </c>
      <c r="F69" s="15" t="inlineStr">
        <is>
          <t>Corporate</t>
        </is>
      </c>
      <c r="G69" s="15" t="inlineStr">
        <is>
          <t>Komal Bashir</t>
        </is>
      </c>
      <c r="H69" s="15" t="inlineStr">
        <is>
          <t>Individual</t>
        </is>
      </c>
      <c r="I69" s="14" t="n">
        <v>72000000</v>
      </c>
      <c r="J69" s="14" t="n">
        <v>1006900</v>
      </c>
      <c r="K69" s="14" t="n">
        <v>107807</v>
      </c>
      <c r="L69" s="14" t="n">
        <v>1</v>
      </c>
      <c r="M69" s="15" t="inlineStr">
        <is>
          <t>Lapsed</t>
        </is>
      </c>
    </row>
    <row r="70">
      <c r="A70" s="7" t="inlineStr">
        <is>
          <t>ADM-HLT-MUL-2024-2065</t>
        </is>
      </c>
      <c r="B70" s="40" t="n">
        <v>45413</v>
      </c>
      <c r="C70" s="7" t="inlineStr">
        <is>
          <t>Multan</t>
        </is>
      </c>
      <c r="D70" s="7" t="inlineStr">
        <is>
          <t>Central</t>
        </is>
      </c>
      <c r="E70" s="7" t="inlineStr">
        <is>
          <t>Health</t>
        </is>
      </c>
      <c r="F70" s="7" t="inlineStr">
        <is>
          <t>Direct</t>
        </is>
      </c>
      <c r="G70" s="7" t="inlineStr">
        <is>
          <t>Waqar Younis Khan</t>
        </is>
      </c>
      <c r="H70" s="7" t="inlineStr">
        <is>
          <t>Corporate</t>
        </is>
      </c>
      <c r="I70" s="11" t="n">
        <v>1200000</v>
      </c>
      <c r="J70" s="11" t="n">
        <v>36500</v>
      </c>
      <c r="K70" s="11" t="n">
        <v>53071</v>
      </c>
      <c r="L70" s="11" t="n">
        <v>1</v>
      </c>
      <c r="M70" s="7" t="inlineStr">
        <is>
          <t>Cancelled</t>
        </is>
      </c>
    </row>
    <row r="71">
      <c r="A71" s="15" t="inlineStr">
        <is>
          <t>ADM-MSC-PEW-2024-2066</t>
        </is>
      </c>
      <c r="B71" s="41" t="n">
        <v>45451</v>
      </c>
      <c r="C71" s="15" t="inlineStr">
        <is>
          <t>Peshawar</t>
        </is>
      </c>
      <c r="D71" s="15" t="inlineStr">
        <is>
          <t>North</t>
        </is>
      </c>
      <c r="E71" s="15" t="inlineStr">
        <is>
          <t>Miscellaneous</t>
        </is>
      </c>
      <c r="F71" s="15" t="inlineStr">
        <is>
          <t>Agency</t>
        </is>
      </c>
      <c r="G71" s="15" t="inlineStr">
        <is>
          <t>Amna Zubair</t>
        </is>
      </c>
      <c r="H71" s="15" t="inlineStr">
        <is>
          <t>Corporate</t>
        </is>
      </c>
      <c r="I71" s="14" t="n">
        <v>28000000</v>
      </c>
      <c r="J71" s="14" t="n">
        <v>489500</v>
      </c>
      <c r="K71" s="14" t="n">
        <v>196838</v>
      </c>
      <c r="L71" s="14" t="n">
        <v>1</v>
      </c>
      <c r="M71" s="15" t="inlineStr">
        <is>
          <t>Active</t>
        </is>
      </c>
    </row>
    <row r="72">
      <c r="A72" s="7" t="inlineStr">
        <is>
          <t>ADM-MAR-QTA-2024-2067</t>
        </is>
      </c>
      <c r="B72" s="40" t="n">
        <v>45488</v>
      </c>
      <c r="C72" s="7" t="inlineStr">
        <is>
          <t>Quetta</t>
        </is>
      </c>
      <c r="D72" s="7" t="inlineStr">
        <is>
          <t>South</t>
        </is>
      </c>
      <c r="E72" s="7" t="inlineStr">
        <is>
          <t>Marine Cargo</t>
        </is>
      </c>
      <c r="F72" s="7" t="inlineStr">
        <is>
          <t>Bancassurance</t>
        </is>
      </c>
      <c r="G72" s="7" t="inlineStr">
        <is>
          <t>Rizwan Ali Soomro</t>
        </is>
      </c>
      <c r="H72" s="7" t="inlineStr">
        <is>
          <t>Individual</t>
        </is>
      </c>
      <c r="I72" s="11" t="n">
        <v>3400000</v>
      </c>
      <c r="J72" s="11" t="n">
        <v>24200</v>
      </c>
      <c r="K72" s="11" t="n">
        <v>1580</v>
      </c>
      <c r="L72" s="11" t="n">
        <v>1</v>
      </c>
      <c r="M72" s="7" t="inlineStr">
        <is>
          <t>Active</t>
        </is>
      </c>
    </row>
    <row r="73">
      <c r="A73" s="15" t="inlineStr">
        <is>
          <t>ADM-ENG-HYD-2024-2068</t>
        </is>
      </c>
      <c r="B73" s="41" t="n">
        <v>45526</v>
      </c>
      <c r="C73" s="15" t="inlineStr">
        <is>
          <t>Hyderabad</t>
        </is>
      </c>
      <c r="D73" s="15" t="inlineStr">
        <is>
          <t>South</t>
        </is>
      </c>
      <c r="E73" s="15" t="inlineStr">
        <is>
          <t>Engineering</t>
        </is>
      </c>
      <c r="F73" s="15" t="inlineStr">
        <is>
          <t>Corporate</t>
        </is>
      </c>
      <c r="G73" s="15" t="inlineStr">
        <is>
          <t>Farhan Dar</t>
        </is>
      </c>
      <c r="H73" s="15" t="inlineStr">
        <is>
          <t>Corporate</t>
        </is>
      </c>
      <c r="I73" s="14" t="n">
        <v>28000000</v>
      </c>
      <c r="J73" s="14" t="n">
        <v>517500</v>
      </c>
      <c r="K73" s="14" t="n">
        <v>652081</v>
      </c>
      <c r="L73" s="14" t="n">
        <v>1</v>
      </c>
      <c r="M73" s="15" t="inlineStr">
        <is>
          <t>Renewed</t>
        </is>
      </c>
    </row>
    <row r="74">
      <c r="A74" s="7" t="inlineStr">
        <is>
          <t>ADM-FIR-SKT-2024-2069</t>
        </is>
      </c>
      <c r="B74" s="40" t="n">
        <v>45536</v>
      </c>
      <c r="C74" s="7" t="inlineStr">
        <is>
          <t>Sialkot</t>
        </is>
      </c>
      <c r="D74" s="7" t="inlineStr">
        <is>
          <t>Central</t>
        </is>
      </c>
      <c r="E74" s="7" t="inlineStr">
        <is>
          <t>Fire &amp; Property</t>
        </is>
      </c>
      <c r="F74" s="7" t="inlineStr">
        <is>
          <t>Direct</t>
        </is>
      </c>
      <c r="G74" s="7" t="inlineStr">
        <is>
          <t>Sobia Naz</t>
        </is>
      </c>
      <c r="H74" s="7" t="inlineStr">
        <is>
          <t>Corporate</t>
        </is>
      </c>
      <c r="I74" s="11" t="n">
        <v>11500000</v>
      </c>
      <c r="J74" s="11" t="n">
        <v>88300</v>
      </c>
      <c r="K74" s="11" t="n">
        <v>136682</v>
      </c>
      <c r="L74" s="11" t="n">
        <v>1</v>
      </c>
      <c r="M74" s="7" t="inlineStr">
        <is>
          <t>Lapsed</t>
        </is>
      </c>
    </row>
    <row r="75">
      <c r="A75" s="15" t="inlineStr">
        <is>
          <t>ADM-TRV-RWP-2024-2070</t>
        </is>
      </c>
      <c r="B75" s="41" t="n">
        <v>45573</v>
      </c>
      <c r="C75" s="15" t="inlineStr">
        <is>
          <t>Rawalpindi</t>
        </is>
      </c>
      <c r="D75" s="15" t="inlineStr">
        <is>
          <t>North</t>
        </is>
      </c>
      <c r="E75" s="15" t="inlineStr">
        <is>
          <t>Travel</t>
        </is>
      </c>
      <c r="F75" s="15" t="inlineStr">
        <is>
          <t>Agency</t>
        </is>
      </c>
      <c r="G75" s="15" t="inlineStr">
        <is>
          <t>Junaid Akram</t>
        </is>
      </c>
      <c r="H75" s="15" t="inlineStr">
        <is>
          <t>Individual</t>
        </is>
      </c>
      <c r="I75" s="14" t="n">
        <v>3400000</v>
      </c>
      <c r="J75" s="14" t="n">
        <v>81700</v>
      </c>
      <c r="K75" s="14" t="n">
        <v>16624</v>
      </c>
      <c r="L75" s="14" t="n">
        <v>1</v>
      </c>
      <c r="M75" s="15" t="inlineStr">
        <is>
          <t>Cancelled</t>
        </is>
      </c>
    </row>
    <row r="76">
      <c r="A76" s="7" t="inlineStr">
        <is>
          <t>ADM-MTR-KHI-2024-2071</t>
        </is>
      </c>
      <c r="B76" s="40" t="n">
        <v>45611</v>
      </c>
      <c r="C76" s="7" t="inlineStr">
        <is>
          <t>Karachi Main</t>
        </is>
      </c>
      <c r="D76" s="7" t="inlineStr">
        <is>
          <t>South</t>
        </is>
      </c>
      <c r="E76" s="7" t="inlineStr">
        <is>
          <t>Motor</t>
        </is>
      </c>
      <c r="F76" s="7" t="inlineStr">
        <is>
          <t>Bancassurance</t>
        </is>
      </c>
      <c r="G76" s="7" t="inlineStr">
        <is>
          <t>Hamid Raza</t>
        </is>
      </c>
      <c r="H76" s="7" t="inlineStr">
        <is>
          <t>Corporate</t>
        </is>
      </c>
      <c r="I76" s="11" t="n">
        <v>28000000</v>
      </c>
      <c r="J76" s="11" t="n">
        <v>161500</v>
      </c>
      <c r="K76" s="11" t="n">
        <v>16054</v>
      </c>
      <c r="L76" s="11" t="n">
        <v>1</v>
      </c>
      <c r="M76" s="7" t="inlineStr">
        <is>
          <t>Active</t>
        </is>
      </c>
    </row>
    <row r="77">
      <c r="A77" s="15" t="inlineStr">
        <is>
          <t>ADM-HLT-LHR-2024-2072</t>
        </is>
      </c>
      <c r="B77" s="41" t="n">
        <v>45648</v>
      </c>
      <c r="C77" s="15" t="inlineStr">
        <is>
          <t>Lahore Gulberg</t>
        </is>
      </c>
      <c r="D77" s="15" t="inlineStr">
        <is>
          <t>Central</t>
        </is>
      </c>
      <c r="E77" s="15" t="inlineStr">
        <is>
          <t>Health</t>
        </is>
      </c>
      <c r="F77" s="15" t="inlineStr">
        <is>
          <t>Corporate</t>
        </is>
      </c>
      <c r="G77" s="15" t="inlineStr">
        <is>
          <t>Nimra Saleem</t>
        </is>
      </c>
      <c r="H77" s="15" t="inlineStr">
        <is>
          <t>Corporate</t>
        </is>
      </c>
      <c r="I77" s="14" t="n">
        <v>19000000</v>
      </c>
      <c r="J77" s="14" t="n">
        <v>564300</v>
      </c>
      <c r="K77" s="14" t="n">
        <v>295386</v>
      </c>
      <c r="L77" s="14" t="n">
        <v>1</v>
      </c>
      <c r="M77" s="15" t="inlineStr">
        <is>
          <t>Active</t>
        </is>
      </c>
    </row>
    <row r="78">
      <c r="A78" s="7" t="inlineStr">
        <is>
          <t>ADM-MSC-ISB-2024-2073</t>
        </is>
      </c>
      <c r="B78" s="40" t="n">
        <v>45292</v>
      </c>
      <c r="C78" s="7" t="inlineStr">
        <is>
          <t>Islamabad Blue Area</t>
        </is>
      </c>
      <c r="D78" s="7" t="inlineStr">
        <is>
          <t>North</t>
        </is>
      </c>
      <c r="E78" s="7" t="inlineStr">
        <is>
          <t>Miscellaneous</t>
        </is>
      </c>
      <c r="F78" s="7" t="inlineStr">
        <is>
          <t>Direct</t>
        </is>
      </c>
      <c r="G78" s="7" t="inlineStr">
        <is>
          <t>Tariq Jameel</t>
        </is>
      </c>
      <c r="H78" s="7" t="inlineStr">
        <is>
          <t>Individual</t>
        </is>
      </c>
      <c r="I78" s="11" t="n">
        <v>47000000</v>
      </c>
      <c r="J78" s="11" t="n">
        <v>817800</v>
      </c>
      <c r="K78" s="11" t="n">
        <v>1386052</v>
      </c>
      <c r="L78" s="11" t="n">
        <v>1</v>
      </c>
      <c r="M78" s="7" t="inlineStr">
        <is>
          <t>Renewed</t>
        </is>
      </c>
    </row>
    <row r="79">
      <c r="A79" s="15" t="inlineStr">
        <is>
          <t>ADM-MAR-FSD-2024-2074</t>
        </is>
      </c>
      <c r="B79" s="41" t="n">
        <v>45330</v>
      </c>
      <c r="C79" s="15" t="inlineStr">
        <is>
          <t>Faisalabad</t>
        </is>
      </c>
      <c r="D79" s="15" t="inlineStr">
        <is>
          <t>Central</t>
        </is>
      </c>
      <c r="E79" s="15" t="inlineStr">
        <is>
          <t>Marine Cargo</t>
        </is>
      </c>
      <c r="F79" s="15" t="inlineStr">
        <is>
          <t>Agency</t>
        </is>
      </c>
      <c r="G79" s="15" t="inlineStr">
        <is>
          <t>Nadia Hassan</t>
        </is>
      </c>
      <c r="H79" s="15" t="inlineStr">
        <is>
          <t>Corporate</t>
        </is>
      </c>
      <c r="I79" s="14" t="n">
        <v>47000000</v>
      </c>
      <c r="J79" s="14" t="n">
        <v>809700</v>
      </c>
      <c r="K79" s="14" t="n">
        <v>1107509</v>
      </c>
      <c r="L79" s="14" t="n">
        <v>1</v>
      </c>
      <c r="M79" s="15" t="inlineStr">
        <is>
          <t>Lapsed</t>
        </is>
      </c>
    </row>
    <row r="80">
      <c r="A80" s="7" t="inlineStr">
        <is>
          <t>ADM-ENG-MUL-2024-2075</t>
        </is>
      </c>
      <c r="B80" s="40" t="n">
        <v>45366</v>
      </c>
      <c r="C80" s="7" t="inlineStr">
        <is>
          <t>Multan</t>
        </is>
      </c>
      <c r="D80" s="7" t="inlineStr">
        <is>
          <t>Central</t>
        </is>
      </c>
      <c r="E80" s="7" t="inlineStr">
        <is>
          <t>Engineering</t>
        </is>
      </c>
      <c r="F80" s="7" t="inlineStr">
        <is>
          <t>Bancassurance</t>
        </is>
      </c>
      <c r="G80" s="7" t="inlineStr">
        <is>
          <t>Salman Shah</t>
        </is>
      </c>
      <c r="H80" s="7" t="inlineStr">
        <is>
          <t>Corporate</t>
        </is>
      </c>
      <c r="I80" s="11" t="n">
        <v>28000000</v>
      </c>
      <c r="J80" s="11" t="n">
        <v>314100</v>
      </c>
      <c r="K80" s="11" t="n">
        <v>530669</v>
      </c>
      <c r="L80" s="11" t="n">
        <v>1</v>
      </c>
      <c r="M80" s="7" t="inlineStr">
        <is>
          <t>Cancelled</t>
        </is>
      </c>
    </row>
    <row r="81">
      <c r="A81" s="15" t="inlineStr">
        <is>
          <t>ADM-FIR-PEW-2024-2076</t>
        </is>
      </c>
      <c r="B81" s="41" t="n">
        <v>45404</v>
      </c>
      <c r="C81" s="15" t="inlineStr">
        <is>
          <t>Peshawar</t>
        </is>
      </c>
      <c r="D81" s="15" t="inlineStr">
        <is>
          <t>North</t>
        </is>
      </c>
      <c r="E81" s="15" t="inlineStr">
        <is>
          <t>Fire &amp; Property</t>
        </is>
      </c>
      <c r="F81" s="15" t="inlineStr">
        <is>
          <t>Corporate</t>
        </is>
      </c>
      <c r="G81" s="15" t="inlineStr">
        <is>
          <t>Komal Bashir</t>
        </is>
      </c>
      <c r="H81" s="15" t="inlineStr">
        <is>
          <t>Individual</t>
        </is>
      </c>
      <c r="I81" s="14" t="n">
        <v>3400000</v>
      </c>
      <c r="J81" s="14" t="n">
        <v>56300</v>
      </c>
      <c r="K81" s="14" t="n">
        <v>84054</v>
      </c>
      <c r="L81" s="14" t="n">
        <v>1</v>
      </c>
      <c r="M81" s="15" t="inlineStr">
        <is>
          <t>Active</t>
        </is>
      </c>
    </row>
    <row r="82">
      <c r="A82" s="7" t="inlineStr">
        <is>
          <t>ADM-TRV-QTA-2024-2077</t>
        </is>
      </c>
      <c r="B82" s="40" t="n">
        <v>45413</v>
      </c>
      <c r="C82" s="7" t="inlineStr">
        <is>
          <t>Quetta</t>
        </is>
      </c>
      <c r="D82" s="7" t="inlineStr">
        <is>
          <t>South</t>
        </is>
      </c>
      <c r="E82" s="7" t="inlineStr">
        <is>
          <t>Travel</t>
        </is>
      </c>
      <c r="F82" s="7" t="inlineStr">
        <is>
          <t>Direct</t>
        </is>
      </c>
      <c r="G82" s="7" t="inlineStr">
        <is>
          <t>Waqar Younis Khan</t>
        </is>
      </c>
      <c r="H82" s="7" t="inlineStr">
        <is>
          <t>Corporate</t>
        </is>
      </c>
      <c r="I82" s="11" t="n">
        <v>1200000</v>
      </c>
      <c r="J82" s="11" t="n">
        <v>20700</v>
      </c>
      <c r="K82" s="11" t="n">
        <v>4341</v>
      </c>
      <c r="L82" s="11" t="n">
        <v>1</v>
      </c>
      <c r="M82" s="7" t="inlineStr">
        <is>
          <t>Active</t>
        </is>
      </c>
    </row>
    <row r="83">
      <c r="A83" s="15" t="inlineStr">
        <is>
          <t>ADM-MTR-HYD-2024-2078</t>
        </is>
      </c>
      <c r="B83" s="41" t="n">
        <v>45451</v>
      </c>
      <c r="C83" s="15" t="inlineStr">
        <is>
          <t>Hyderabad</t>
        </is>
      </c>
      <c r="D83" s="15" t="inlineStr">
        <is>
          <t>South</t>
        </is>
      </c>
      <c r="E83" s="15" t="inlineStr">
        <is>
          <t>Motor</t>
        </is>
      </c>
      <c r="F83" s="15" t="inlineStr">
        <is>
          <t>Agency</t>
        </is>
      </c>
      <c r="G83" s="15" t="inlineStr">
        <is>
          <t>Amna Zubair</t>
        </is>
      </c>
      <c r="H83" s="15" t="inlineStr">
        <is>
          <t>Corporate</t>
        </is>
      </c>
      <c r="I83" s="14" t="n">
        <v>1200000</v>
      </c>
      <c r="J83" s="14" t="n">
        <v>11300</v>
      </c>
      <c r="K83" s="14" t="n">
        <v>14476</v>
      </c>
      <c r="L83" s="14" t="n">
        <v>1</v>
      </c>
      <c r="M83" s="15" t="inlineStr">
        <is>
          <t>Renewed</t>
        </is>
      </c>
    </row>
    <row r="84">
      <c r="A84" s="7" t="inlineStr">
        <is>
          <t>ADM-HLT-SKT-2024-2079</t>
        </is>
      </c>
      <c r="B84" s="40" t="n">
        <v>45488</v>
      </c>
      <c r="C84" s="7" t="inlineStr">
        <is>
          <t>Sialkot</t>
        </is>
      </c>
      <c r="D84" s="7" t="inlineStr">
        <is>
          <t>Central</t>
        </is>
      </c>
      <c r="E84" s="7" t="inlineStr">
        <is>
          <t>Health</t>
        </is>
      </c>
      <c r="F84" s="7" t="inlineStr">
        <is>
          <t>Bancassurance</t>
        </is>
      </c>
      <c r="G84" s="7" t="inlineStr">
        <is>
          <t>Rizwan Ali Soomro</t>
        </is>
      </c>
      <c r="H84" s="7" t="inlineStr">
        <is>
          <t>Individual</t>
        </is>
      </c>
      <c r="I84" s="11" t="n">
        <v>6800000</v>
      </c>
      <c r="J84" s="11" t="n">
        <v>190700</v>
      </c>
      <c r="K84" s="11" t="n">
        <v>63087</v>
      </c>
      <c r="L84" s="11" t="n">
        <v>1</v>
      </c>
      <c r="M84" s="7" t="inlineStr">
        <is>
          <t>Lapsed</t>
        </is>
      </c>
    </row>
    <row r="85">
      <c r="A85" s="15" t="inlineStr">
        <is>
          <t>ADM-MSC-RWP-2024-2080</t>
        </is>
      </c>
      <c r="B85" s="41" t="n">
        <v>45526</v>
      </c>
      <c r="C85" s="15" t="inlineStr">
        <is>
          <t>Rawalpindi</t>
        </is>
      </c>
      <c r="D85" s="15" t="inlineStr">
        <is>
          <t>North</t>
        </is>
      </c>
      <c r="E85" s="15" t="inlineStr">
        <is>
          <t>Miscellaneous</t>
        </is>
      </c>
      <c r="F85" s="15" t="inlineStr">
        <is>
          <t>Corporate</t>
        </is>
      </c>
      <c r="G85" s="15" t="inlineStr">
        <is>
          <t>Farhan Dar</t>
        </is>
      </c>
      <c r="H85" s="15" t="inlineStr">
        <is>
          <t>Corporate</t>
        </is>
      </c>
      <c r="I85" s="14" t="n">
        <v>3400000</v>
      </c>
      <c r="J85" s="14" t="n">
        <v>48700</v>
      </c>
      <c r="K85" s="14" t="n">
        <v>21523</v>
      </c>
      <c r="L85" s="14" t="n">
        <v>1</v>
      </c>
      <c r="M85" s="15" t="inlineStr">
        <is>
          <t>Cancelled</t>
        </is>
      </c>
    </row>
    <row r="86">
      <c r="A86" s="7" t="inlineStr">
        <is>
          <t>ADM-MAR-KHI-2024-2081</t>
        </is>
      </c>
      <c r="B86" s="40" t="n">
        <v>45536</v>
      </c>
      <c r="C86" s="7" t="inlineStr">
        <is>
          <t>Karachi Main</t>
        </is>
      </c>
      <c r="D86" s="7" t="inlineStr">
        <is>
          <t>South</t>
        </is>
      </c>
      <c r="E86" s="7" t="inlineStr">
        <is>
          <t>Marine Cargo</t>
        </is>
      </c>
      <c r="F86" s="7" t="inlineStr">
        <is>
          <t>Direct</t>
        </is>
      </c>
      <c r="G86" s="7" t="inlineStr">
        <is>
          <t>Sobia Naz</t>
        </is>
      </c>
      <c r="H86" s="7" t="inlineStr">
        <is>
          <t>Corporate</t>
        </is>
      </c>
      <c r="I86" s="11" t="n">
        <v>47000000</v>
      </c>
      <c r="J86" s="11" t="n">
        <v>237300</v>
      </c>
      <c r="K86" s="11" t="n">
        <v>327198</v>
      </c>
      <c r="L86" s="11" t="n">
        <v>1</v>
      </c>
      <c r="M86" s="7" t="inlineStr">
        <is>
          <t>Active</t>
        </is>
      </c>
    </row>
    <row r="87">
      <c r="A87" s="15" t="inlineStr">
        <is>
          <t>ADM-ENG-LHR-2024-2082</t>
        </is>
      </c>
      <c r="B87" s="41" t="n">
        <v>45573</v>
      </c>
      <c r="C87" s="15" t="inlineStr">
        <is>
          <t>Lahore Gulberg</t>
        </is>
      </c>
      <c r="D87" s="15" t="inlineStr">
        <is>
          <t>Central</t>
        </is>
      </c>
      <c r="E87" s="15" t="inlineStr">
        <is>
          <t>Engineering</t>
        </is>
      </c>
      <c r="F87" s="15" t="inlineStr">
        <is>
          <t>Agency</t>
        </is>
      </c>
      <c r="G87" s="15" t="inlineStr">
        <is>
          <t>Junaid Akram</t>
        </is>
      </c>
      <c r="H87" s="15" t="inlineStr">
        <is>
          <t>Individual</t>
        </is>
      </c>
      <c r="I87" s="14" t="n">
        <v>72000000</v>
      </c>
      <c r="J87" s="14" t="n">
        <v>1764300</v>
      </c>
      <c r="K87" s="14" t="n">
        <v>1315665</v>
      </c>
      <c r="L87" s="14" t="n">
        <v>1</v>
      </c>
      <c r="M87" s="15" t="inlineStr">
        <is>
          <t>Active</t>
        </is>
      </c>
    </row>
    <row r="88">
      <c r="A88" s="7" t="inlineStr">
        <is>
          <t>ADM-FIR-ISB-2024-2083</t>
        </is>
      </c>
      <c r="B88" s="40" t="n">
        <v>45611</v>
      </c>
      <c r="C88" s="7" t="inlineStr">
        <is>
          <t>Islamabad Blue Area</t>
        </is>
      </c>
      <c r="D88" s="7" t="inlineStr">
        <is>
          <t>North</t>
        </is>
      </c>
      <c r="E88" s="7" t="inlineStr">
        <is>
          <t>Fire &amp; Property</t>
        </is>
      </c>
      <c r="F88" s="7" t="inlineStr">
        <is>
          <t>Bancassurance</t>
        </is>
      </c>
      <c r="G88" s="7" t="inlineStr">
        <is>
          <t>Hamid Raza</t>
        </is>
      </c>
      <c r="H88" s="7" t="inlineStr">
        <is>
          <t>Corporate</t>
        </is>
      </c>
      <c r="I88" s="11" t="n">
        <v>28000000</v>
      </c>
      <c r="J88" s="11" t="n">
        <v>406100</v>
      </c>
      <c r="K88" s="11" t="n">
        <v>201854</v>
      </c>
      <c r="L88" s="11" t="n">
        <v>1</v>
      </c>
      <c r="M88" s="7" t="inlineStr">
        <is>
          <t>Renewed</t>
        </is>
      </c>
    </row>
    <row r="89">
      <c r="A89" s="15" t="inlineStr">
        <is>
          <t>ADM-TRV-FSD-2024-2084</t>
        </is>
      </c>
      <c r="B89" s="41" t="n">
        <v>45648</v>
      </c>
      <c r="C89" s="15" t="inlineStr">
        <is>
          <t>Faisalabad</t>
        </is>
      </c>
      <c r="D89" s="15" t="inlineStr">
        <is>
          <t>Central</t>
        </is>
      </c>
      <c r="E89" s="15" t="inlineStr">
        <is>
          <t>Travel</t>
        </is>
      </c>
      <c r="F89" s="15" t="inlineStr">
        <is>
          <t>Corporate</t>
        </is>
      </c>
      <c r="G89" s="15" t="inlineStr">
        <is>
          <t>Nimra Saleem</t>
        </is>
      </c>
      <c r="H89" s="15" t="inlineStr">
        <is>
          <t>Corporate</t>
        </is>
      </c>
      <c r="I89" s="14" t="n">
        <v>11500000</v>
      </c>
      <c r="J89" s="14" t="n">
        <v>202500</v>
      </c>
      <c r="K89" s="14" t="n">
        <v>158654</v>
      </c>
      <c r="L89" s="14" t="n">
        <v>1</v>
      </c>
      <c r="M89" s="15" t="inlineStr">
        <is>
          <t>Lapsed</t>
        </is>
      </c>
    </row>
    <row r="90">
      <c r="A90" s="7" t="inlineStr">
        <is>
          <t>ADM-MTR-MUL-2024-2085</t>
        </is>
      </c>
      <c r="B90" s="40" t="n">
        <v>45292</v>
      </c>
      <c r="C90" s="7" t="inlineStr">
        <is>
          <t>Multan</t>
        </is>
      </c>
      <c r="D90" s="7" t="inlineStr">
        <is>
          <t>Central</t>
        </is>
      </c>
      <c r="E90" s="7" t="inlineStr">
        <is>
          <t>Motor</t>
        </is>
      </c>
      <c r="F90" s="7" t="inlineStr">
        <is>
          <t>Direct</t>
        </is>
      </c>
      <c r="G90" s="7" t="inlineStr">
        <is>
          <t>Tariq Jameel</t>
        </is>
      </c>
      <c r="H90" s="7" t="inlineStr">
        <is>
          <t>Individual</t>
        </is>
      </c>
      <c r="I90" s="11" t="n">
        <v>6800000</v>
      </c>
      <c r="J90" s="11" t="n">
        <v>36100</v>
      </c>
      <c r="K90" s="11" t="n">
        <v>50561</v>
      </c>
      <c r="L90" s="11" t="n">
        <v>1</v>
      </c>
      <c r="M90" s="7" t="inlineStr">
        <is>
          <t>Cancelled</t>
        </is>
      </c>
    </row>
    <row r="91">
      <c r="A91" s="15" t="inlineStr">
        <is>
          <t>ADM-HLT-PEW-2024-2086</t>
        </is>
      </c>
      <c r="B91" s="41" t="n">
        <v>45330</v>
      </c>
      <c r="C91" s="15" t="inlineStr">
        <is>
          <t>Peshawar</t>
        </is>
      </c>
      <c r="D91" s="15" t="inlineStr">
        <is>
          <t>North</t>
        </is>
      </c>
      <c r="E91" s="15" t="inlineStr">
        <is>
          <t>Health</t>
        </is>
      </c>
      <c r="F91" s="15" t="inlineStr">
        <is>
          <t>Agency</t>
        </is>
      </c>
      <c r="G91" s="15" t="inlineStr">
        <is>
          <t>Nadia Hassan</t>
        </is>
      </c>
      <c r="H91" s="15" t="inlineStr">
        <is>
          <t>Corporate</t>
        </is>
      </c>
      <c r="I91" s="14" t="n">
        <v>6800000</v>
      </c>
      <c r="J91" s="14" t="n">
        <v>140600</v>
      </c>
      <c r="K91" s="14" t="n">
        <v>238796</v>
      </c>
      <c r="L91" s="14" t="n">
        <v>1</v>
      </c>
      <c r="M91" s="15" t="inlineStr">
        <is>
          <t>Active</t>
        </is>
      </c>
    </row>
    <row r="92">
      <c r="A92" s="7" t="inlineStr">
        <is>
          <t>ADM-MSC-QTA-2024-2087</t>
        </is>
      </c>
      <c r="B92" s="40" t="n">
        <v>45366</v>
      </c>
      <c r="C92" s="7" t="inlineStr">
        <is>
          <t>Quetta</t>
        </is>
      </c>
      <c r="D92" s="7" t="inlineStr">
        <is>
          <t>South</t>
        </is>
      </c>
      <c r="E92" s="7" t="inlineStr">
        <is>
          <t>Miscellaneous</t>
        </is>
      </c>
      <c r="F92" s="7" t="inlineStr">
        <is>
          <t>Bancassurance</t>
        </is>
      </c>
      <c r="G92" s="7" t="inlineStr">
        <is>
          <t>Salman Shah</t>
        </is>
      </c>
      <c r="H92" s="7" t="inlineStr">
        <is>
          <t>Corporate</t>
        </is>
      </c>
      <c r="I92" s="11" t="n">
        <v>19000000</v>
      </c>
      <c r="J92" s="11" t="n">
        <v>350400</v>
      </c>
      <c r="K92" s="11" t="n">
        <v>664530</v>
      </c>
      <c r="L92" s="11" t="n">
        <v>1</v>
      </c>
      <c r="M92" s="7" t="inlineStr">
        <is>
          <t>Active</t>
        </is>
      </c>
    </row>
    <row r="93">
      <c r="A93" s="15" t="inlineStr">
        <is>
          <t>ADM-MAR-HYD-2024-2088</t>
        </is>
      </c>
      <c r="B93" s="41" t="n">
        <v>45404</v>
      </c>
      <c r="C93" s="15" t="inlineStr">
        <is>
          <t>Hyderabad</t>
        </is>
      </c>
      <c r="D93" s="15" t="inlineStr">
        <is>
          <t>South</t>
        </is>
      </c>
      <c r="E93" s="15" t="inlineStr">
        <is>
          <t>Marine Cargo</t>
        </is>
      </c>
      <c r="F93" s="15" t="inlineStr">
        <is>
          <t>Corporate</t>
        </is>
      </c>
      <c r="G93" s="15" t="inlineStr">
        <is>
          <t>Komal Bashir</t>
        </is>
      </c>
      <c r="H93" s="15" t="inlineStr">
        <is>
          <t>Individual</t>
        </is>
      </c>
      <c r="I93" s="14" t="n">
        <v>72000000</v>
      </c>
      <c r="J93" s="14" t="n">
        <v>1685500</v>
      </c>
      <c r="K93" s="14" t="n">
        <v>1657983</v>
      </c>
      <c r="L93" s="14" t="n">
        <v>1</v>
      </c>
      <c r="M93" s="15" t="inlineStr">
        <is>
          <t>Renewed</t>
        </is>
      </c>
    </row>
    <row r="94">
      <c r="A94" s="7" t="inlineStr">
        <is>
          <t>ADM-ENG-SKT-2024-2089</t>
        </is>
      </c>
      <c r="B94" s="40" t="n">
        <v>45413</v>
      </c>
      <c r="C94" s="7" t="inlineStr">
        <is>
          <t>Sialkot</t>
        </is>
      </c>
      <c r="D94" s="7" t="inlineStr">
        <is>
          <t>Central</t>
        </is>
      </c>
      <c r="E94" s="7" t="inlineStr">
        <is>
          <t>Engineering</t>
        </is>
      </c>
      <c r="F94" s="7" t="inlineStr">
        <is>
          <t>Direct</t>
        </is>
      </c>
      <c r="G94" s="7" t="inlineStr">
        <is>
          <t>Waqar Younis Khan</t>
        </is>
      </c>
      <c r="H94" s="7" t="inlineStr">
        <is>
          <t>Corporate</t>
        </is>
      </c>
      <c r="I94" s="11" t="n">
        <v>47000000</v>
      </c>
      <c r="J94" s="11" t="n">
        <v>988500</v>
      </c>
      <c r="K94" s="11" t="n">
        <v>1297814</v>
      </c>
      <c r="L94" s="11" t="n">
        <v>1</v>
      </c>
      <c r="M94" s="7" t="inlineStr">
        <is>
          <t>Lapsed</t>
        </is>
      </c>
    </row>
    <row r="95">
      <c r="A95" s="15" t="inlineStr">
        <is>
          <t>ADM-FIR-RWP-2024-2090</t>
        </is>
      </c>
      <c r="B95" s="41" t="n">
        <v>45451</v>
      </c>
      <c r="C95" s="15" t="inlineStr">
        <is>
          <t>Rawalpindi</t>
        </is>
      </c>
      <c r="D95" s="15" t="inlineStr">
        <is>
          <t>North</t>
        </is>
      </c>
      <c r="E95" s="15" t="inlineStr">
        <is>
          <t>Fire &amp; Property</t>
        </is>
      </c>
      <c r="F95" s="15" t="inlineStr">
        <is>
          <t>Agency</t>
        </is>
      </c>
      <c r="G95" s="15" t="inlineStr">
        <is>
          <t>Amna Zubair</t>
        </is>
      </c>
      <c r="H95" s="15" t="inlineStr">
        <is>
          <t>Corporate</t>
        </is>
      </c>
      <c r="I95" s="14" t="n">
        <v>19000000</v>
      </c>
      <c r="J95" s="14" t="n">
        <v>215900</v>
      </c>
      <c r="K95" s="14" t="n">
        <v>64887</v>
      </c>
      <c r="L95" s="14" t="n">
        <v>1</v>
      </c>
      <c r="M95" s="15" t="inlineStr">
        <is>
          <t>Cancelled</t>
        </is>
      </c>
    </row>
    <row r="96">
      <c r="A96" s="7" t="inlineStr">
        <is>
          <t>ADM-TRV-KHI-2024-2091</t>
        </is>
      </c>
      <c r="B96" s="40" t="n">
        <v>45488</v>
      </c>
      <c r="C96" s="7" t="inlineStr">
        <is>
          <t>Karachi Main</t>
        </is>
      </c>
      <c r="D96" s="7" t="inlineStr">
        <is>
          <t>South</t>
        </is>
      </c>
      <c r="E96" s="7" t="inlineStr">
        <is>
          <t>Travel</t>
        </is>
      </c>
      <c r="F96" s="7" t="inlineStr">
        <is>
          <t>Bancassurance</t>
        </is>
      </c>
      <c r="G96" s="7" t="inlineStr">
        <is>
          <t>Rizwan Ali Soomro</t>
        </is>
      </c>
      <c r="H96" s="7" t="inlineStr">
        <is>
          <t>Individual</t>
        </is>
      </c>
      <c r="I96" s="11" t="n">
        <v>47000000</v>
      </c>
      <c r="J96" s="11" t="n">
        <v>268400</v>
      </c>
      <c r="K96" s="11" t="n">
        <v>149803</v>
      </c>
      <c r="L96" s="11" t="n">
        <v>1</v>
      </c>
      <c r="M96" s="7" t="inlineStr">
        <is>
          <t>Active</t>
        </is>
      </c>
    </row>
    <row r="97">
      <c r="A97" s="15" t="inlineStr">
        <is>
          <t>ADM-MTR-LHR-2024-2092</t>
        </is>
      </c>
      <c r="B97" s="41" t="n">
        <v>45526</v>
      </c>
      <c r="C97" s="15" t="inlineStr">
        <is>
          <t>Lahore Gulberg</t>
        </is>
      </c>
      <c r="D97" s="15" t="inlineStr">
        <is>
          <t>Central</t>
        </is>
      </c>
      <c r="E97" s="15" t="inlineStr">
        <is>
          <t>Motor</t>
        </is>
      </c>
      <c r="F97" s="15" t="inlineStr">
        <is>
          <t>Corporate</t>
        </is>
      </c>
      <c r="G97" s="15" t="inlineStr">
        <is>
          <t>Farhan Dar</t>
        </is>
      </c>
      <c r="H97" s="15" t="inlineStr">
        <is>
          <t>Corporate</t>
        </is>
      </c>
      <c r="I97" s="14" t="n">
        <v>47000000</v>
      </c>
      <c r="J97" s="14" t="n">
        <v>1406900</v>
      </c>
      <c r="K97" s="14" t="n">
        <v>295893</v>
      </c>
      <c r="L97" s="14" t="n">
        <v>1</v>
      </c>
      <c r="M97" s="15" t="inlineStr">
        <is>
          <t>Active</t>
        </is>
      </c>
    </row>
    <row r="98">
      <c r="A98" s="7" t="inlineStr">
        <is>
          <t>ADM-HLT-ISB-2024-2093</t>
        </is>
      </c>
      <c r="B98" s="40" t="n">
        <v>45536</v>
      </c>
      <c r="C98" s="7" t="inlineStr">
        <is>
          <t>Islamabad Blue Area</t>
        </is>
      </c>
      <c r="D98" s="7" t="inlineStr">
        <is>
          <t>North</t>
        </is>
      </c>
      <c r="E98" s="7" t="inlineStr">
        <is>
          <t>Health</t>
        </is>
      </c>
      <c r="F98" s="7" t="inlineStr">
        <is>
          <t>Direct</t>
        </is>
      </c>
      <c r="G98" s="7" t="inlineStr">
        <is>
          <t>Sobia Naz</t>
        </is>
      </c>
      <c r="H98" s="7" t="inlineStr">
        <is>
          <t>Corporate</t>
        </is>
      </c>
      <c r="I98" s="11" t="n">
        <v>19000000</v>
      </c>
      <c r="J98" s="11" t="n">
        <v>321300</v>
      </c>
      <c r="K98" s="11" t="n">
        <v>26393</v>
      </c>
      <c r="L98" s="11" t="n">
        <v>1</v>
      </c>
      <c r="M98" s="7" t="inlineStr">
        <is>
          <t>Renewed</t>
        </is>
      </c>
    </row>
    <row r="99">
      <c r="A99" s="15" t="inlineStr">
        <is>
          <t>ADM-MSC-FSD-2024-2094</t>
        </is>
      </c>
      <c r="B99" s="41" t="n">
        <v>45573</v>
      </c>
      <c r="C99" s="15" t="inlineStr">
        <is>
          <t>Faisalabad</t>
        </is>
      </c>
      <c r="D99" s="15" t="inlineStr">
        <is>
          <t>Central</t>
        </is>
      </c>
      <c r="E99" s="15" t="inlineStr">
        <is>
          <t>Miscellaneous</t>
        </is>
      </c>
      <c r="F99" s="15" t="inlineStr">
        <is>
          <t>Agency</t>
        </is>
      </c>
      <c r="G99" s="15" t="inlineStr">
        <is>
          <t>Junaid Akram</t>
        </is>
      </c>
      <c r="H99" s="15" t="inlineStr">
        <is>
          <t>Individual</t>
        </is>
      </c>
      <c r="I99" s="14" t="n">
        <v>47000000</v>
      </c>
      <c r="J99" s="14" t="n">
        <v>941400</v>
      </c>
      <c r="K99" s="14" t="n">
        <v>1091541</v>
      </c>
      <c r="L99" s="14" t="n">
        <v>1</v>
      </c>
      <c r="M99" s="15" t="inlineStr">
        <is>
          <t>Lapsed</t>
        </is>
      </c>
    </row>
    <row r="100">
      <c r="A100" s="7" t="inlineStr">
        <is>
          <t>ADM-MAR-MUL-2024-2095</t>
        </is>
      </c>
      <c r="B100" s="40" t="n">
        <v>45611</v>
      </c>
      <c r="C100" s="7" t="inlineStr">
        <is>
          <t>Multan</t>
        </is>
      </c>
      <c r="D100" s="7" t="inlineStr">
        <is>
          <t>Central</t>
        </is>
      </c>
      <c r="E100" s="7" t="inlineStr">
        <is>
          <t>Marine Cargo</t>
        </is>
      </c>
      <c r="F100" s="7" t="inlineStr">
        <is>
          <t>Bancassurance</t>
        </is>
      </c>
      <c r="G100" s="7" t="inlineStr">
        <is>
          <t>Hamid Raza</t>
        </is>
      </c>
      <c r="H100" s="7" t="inlineStr">
        <is>
          <t>Corporate</t>
        </is>
      </c>
      <c r="I100" s="11" t="n">
        <v>28000000</v>
      </c>
      <c r="J100" s="11" t="n">
        <v>839200</v>
      </c>
      <c r="K100" s="11" t="n">
        <v>226378</v>
      </c>
      <c r="L100" s="11" t="n">
        <v>1</v>
      </c>
      <c r="M100" s="7" t="inlineStr">
        <is>
          <t>Cancelled</t>
        </is>
      </c>
    </row>
    <row r="101">
      <c r="A101" s="15" t="inlineStr">
        <is>
          <t>ADM-ENG-PEW-2024-2096</t>
        </is>
      </c>
      <c r="B101" s="41" t="n">
        <v>45648</v>
      </c>
      <c r="C101" s="15" t="inlineStr">
        <is>
          <t>Peshawar</t>
        </is>
      </c>
      <c r="D101" s="15" t="inlineStr">
        <is>
          <t>North</t>
        </is>
      </c>
      <c r="E101" s="15" t="inlineStr">
        <is>
          <t>Engineering</t>
        </is>
      </c>
      <c r="F101" s="15" t="inlineStr">
        <is>
          <t>Corporate</t>
        </is>
      </c>
      <c r="G101" s="15" t="inlineStr">
        <is>
          <t>Nimra Saleem</t>
        </is>
      </c>
      <c r="H101" s="15" t="inlineStr">
        <is>
          <t>Corporate</t>
        </is>
      </c>
      <c r="I101" s="14" t="n">
        <v>19000000</v>
      </c>
      <c r="J101" s="14" t="n">
        <v>542800</v>
      </c>
      <c r="K101" s="14" t="n">
        <v>248383</v>
      </c>
      <c r="L101" s="14" t="n">
        <v>1</v>
      </c>
      <c r="M101" s="15" t="inlineStr">
        <is>
          <t>Active</t>
        </is>
      </c>
    </row>
    <row r="102">
      <c r="A102" s="7" t="inlineStr">
        <is>
          <t>ADM-FIR-QTA-2024-2097</t>
        </is>
      </c>
      <c r="B102" s="40" t="n">
        <v>45292</v>
      </c>
      <c r="C102" s="7" t="inlineStr">
        <is>
          <t>Quetta</t>
        </is>
      </c>
      <c r="D102" s="7" t="inlineStr">
        <is>
          <t>South</t>
        </is>
      </c>
      <c r="E102" s="7" t="inlineStr">
        <is>
          <t>Fire &amp; Property</t>
        </is>
      </c>
      <c r="F102" s="7" t="inlineStr">
        <is>
          <t>Direct</t>
        </is>
      </c>
      <c r="G102" s="7" t="inlineStr">
        <is>
          <t>Tariq Jameel</t>
        </is>
      </c>
      <c r="H102" s="7" t="inlineStr">
        <is>
          <t>Individual</t>
        </is>
      </c>
      <c r="I102" s="11" t="n">
        <v>1200000</v>
      </c>
      <c r="J102" s="11" t="n">
        <v>16300</v>
      </c>
      <c r="K102" s="11" t="n">
        <v>28348</v>
      </c>
      <c r="L102" s="11" t="n">
        <v>1</v>
      </c>
      <c r="M102" s="7" t="inlineStr">
        <is>
          <t>Active</t>
        </is>
      </c>
    </row>
    <row r="103">
      <c r="A103" s="15" t="inlineStr">
        <is>
          <t>ADM-TRV-HYD-2024-2098</t>
        </is>
      </c>
      <c r="B103" s="41" t="n">
        <v>45330</v>
      </c>
      <c r="C103" s="15" t="inlineStr">
        <is>
          <t>Hyderabad</t>
        </is>
      </c>
      <c r="D103" s="15" t="inlineStr">
        <is>
          <t>South</t>
        </is>
      </c>
      <c r="E103" s="15" t="inlineStr">
        <is>
          <t>Travel</t>
        </is>
      </c>
      <c r="F103" s="15" t="inlineStr">
        <is>
          <t>Agency</t>
        </is>
      </c>
      <c r="G103" s="15" t="inlineStr">
        <is>
          <t>Nadia Hassan</t>
        </is>
      </c>
      <c r="H103" s="15" t="inlineStr">
        <is>
          <t>Corporate</t>
        </is>
      </c>
      <c r="I103" s="14" t="n">
        <v>28000000</v>
      </c>
      <c r="J103" s="14" t="n">
        <v>753600</v>
      </c>
      <c r="K103" s="14" t="n">
        <v>624051</v>
      </c>
      <c r="L103" s="14" t="n">
        <v>1</v>
      </c>
      <c r="M103" s="15" t="inlineStr">
        <is>
          <t>Renewed</t>
        </is>
      </c>
    </row>
    <row r="104">
      <c r="A104" s="7" t="inlineStr">
        <is>
          <t>ADM-MTR-SKT-2024-2099</t>
        </is>
      </c>
      <c r="B104" s="40" t="n">
        <v>45366</v>
      </c>
      <c r="C104" s="7" t="inlineStr">
        <is>
          <t>Sialkot</t>
        </is>
      </c>
      <c r="D104" s="7" t="inlineStr">
        <is>
          <t>Central</t>
        </is>
      </c>
      <c r="E104" s="7" t="inlineStr">
        <is>
          <t>Motor</t>
        </is>
      </c>
      <c r="F104" s="7" t="inlineStr">
        <is>
          <t>Bancassurance</t>
        </is>
      </c>
      <c r="G104" s="7" t="inlineStr">
        <is>
          <t>Salman Shah</t>
        </is>
      </c>
      <c r="H104" s="7" t="inlineStr">
        <is>
          <t>Corporate</t>
        </is>
      </c>
      <c r="I104" s="11" t="n">
        <v>28000000</v>
      </c>
      <c r="J104" s="11" t="n">
        <v>858000</v>
      </c>
      <c r="K104" s="11" t="n">
        <v>710027</v>
      </c>
      <c r="L104" s="11" t="n">
        <v>1</v>
      </c>
      <c r="M104" s="7" t="inlineStr">
        <is>
          <t>Lapsed</t>
        </is>
      </c>
    </row>
    <row r="105">
      <c r="A105" s="15" t="inlineStr">
        <is>
          <t>ADM-HLT-RWP-2024-2100</t>
        </is>
      </c>
      <c r="B105" s="41" t="n">
        <v>45404</v>
      </c>
      <c r="C105" s="15" t="inlineStr">
        <is>
          <t>Rawalpindi</t>
        </is>
      </c>
      <c r="D105" s="15" t="inlineStr">
        <is>
          <t>North</t>
        </is>
      </c>
      <c r="E105" s="15" t="inlineStr">
        <is>
          <t>Health</t>
        </is>
      </c>
      <c r="F105" s="15" t="inlineStr">
        <is>
          <t>Corporate</t>
        </is>
      </c>
      <c r="G105" s="15" t="inlineStr">
        <is>
          <t>Komal Bashir</t>
        </is>
      </c>
      <c r="H105" s="15" t="inlineStr">
        <is>
          <t>Individual</t>
        </is>
      </c>
      <c r="I105" s="14" t="n">
        <v>47000000</v>
      </c>
      <c r="J105" s="14" t="n">
        <v>701000</v>
      </c>
      <c r="K105" s="14" t="n">
        <v>1038676</v>
      </c>
      <c r="L105" s="14" t="n">
        <v>1</v>
      </c>
      <c r="M105" s="15" t="inlineStr">
        <is>
          <t>Cancelled</t>
        </is>
      </c>
    </row>
    <row r="106">
      <c r="A106" s="7" t="inlineStr">
        <is>
          <t>ADM-MSC-KHI-2024-2101</t>
        </is>
      </c>
      <c r="B106" s="40" t="n">
        <v>45413</v>
      </c>
      <c r="C106" s="7" t="inlineStr">
        <is>
          <t>Karachi Main</t>
        </is>
      </c>
      <c r="D106" s="7" t="inlineStr">
        <is>
          <t>South</t>
        </is>
      </c>
      <c r="E106" s="7" t="inlineStr">
        <is>
          <t>Miscellaneous</t>
        </is>
      </c>
      <c r="F106" s="7" t="inlineStr">
        <is>
          <t>Direct</t>
        </is>
      </c>
      <c r="G106" s="7" t="inlineStr">
        <is>
          <t>Waqar Younis Khan</t>
        </is>
      </c>
      <c r="H106" s="7" t="inlineStr">
        <is>
          <t>Corporate</t>
        </is>
      </c>
      <c r="I106" s="11" t="n">
        <v>28000000</v>
      </c>
      <c r="J106" s="11" t="n">
        <v>801300</v>
      </c>
      <c r="K106" s="11" t="n">
        <v>179274</v>
      </c>
      <c r="L106" s="11" t="n">
        <v>1</v>
      </c>
      <c r="M106" s="7" t="inlineStr">
        <is>
          <t>Active</t>
        </is>
      </c>
    </row>
    <row r="107">
      <c r="A107" s="15" t="inlineStr">
        <is>
          <t>ADM-MAR-LHR-2024-2102</t>
        </is>
      </c>
      <c r="B107" s="41" t="n">
        <v>45451</v>
      </c>
      <c r="C107" s="15" t="inlineStr">
        <is>
          <t>Lahore Gulberg</t>
        </is>
      </c>
      <c r="D107" s="15" t="inlineStr">
        <is>
          <t>Central</t>
        </is>
      </c>
      <c r="E107" s="15" t="inlineStr">
        <is>
          <t>Marine Cargo</t>
        </is>
      </c>
      <c r="F107" s="15" t="inlineStr">
        <is>
          <t>Agency</t>
        </is>
      </c>
      <c r="G107" s="15" t="inlineStr">
        <is>
          <t>Amna Zubair</t>
        </is>
      </c>
      <c r="H107" s="15" t="inlineStr">
        <is>
          <t>Corporate</t>
        </is>
      </c>
      <c r="I107" s="14" t="n">
        <v>47000000</v>
      </c>
      <c r="J107" s="14" t="n">
        <v>496500</v>
      </c>
      <c r="K107" s="14" t="n">
        <v>654105</v>
      </c>
      <c r="L107" s="14" t="n">
        <v>1</v>
      </c>
      <c r="M107" s="15" t="inlineStr">
        <is>
          <t>Active</t>
        </is>
      </c>
    </row>
    <row r="108">
      <c r="A108" s="7" t="inlineStr">
        <is>
          <t>ADM-ENG-ISB-2024-2103</t>
        </is>
      </c>
      <c r="B108" s="40" t="n">
        <v>45488</v>
      </c>
      <c r="C108" s="7" t="inlineStr">
        <is>
          <t>Islamabad Blue Area</t>
        </is>
      </c>
      <c r="D108" s="7" t="inlineStr">
        <is>
          <t>North</t>
        </is>
      </c>
      <c r="E108" s="7" t="inlineStr">
        <is>
          <t>Engineering</t>
        </is>
      </c>
      <c r="F108" s="7" t="inlineStr">
        <is>
          <t>Bancassurance</t>
        </is>
      </c>
      <c r="G108" s="7" t="inlineStr">
        <is>
          <t>Rizwan Ali Soomro</t>
        </is>
      </c>
      <c r="H108" s="7" t="inlineStr">
        <is>
          <t>Individual</t>
        </is>
      </c>
      <c r="I108" s="11" t="n">
        <v>28000000</v>
      </c>
      <c r="J108" s="11" t="n">
        <v>277500</v>
      </c>
      <c r="K108" s="11" t="n">
        <v>119888</v>
      </c>
      <c r="L108" s="11" t="n">
        <v>1</v>
      </c>
      <c r="M108" s="7" t="inlineStr">
        <is>
          <t>Renewed</t>
        </is>
      </c>
    </row>
    <row r="109">
      <c r="A109" s="15" t="inlineStr">
        <is>
          <t>ADM-FIR-FSD-2024-2104</t>
        </is>
      </c>
      <c r="B109" s="41" t="n">
        <v>45526</v>
      </c>
      <c r="C109" s="15" t="inlineStr">
        <is>
          <t>Faisalabad</t>
        </is>
      </c>
      <c r="D109" s="15" t="inlineStr">
        <is>
          <t>Central</t>
        </is>
      </c>
      <c r="E109" s="15" t="inlineStr">
        <is>
          <t>Fire &amp; Property</t>
        </is>
      </c>
      <c r="F109" s="15" t="inlineStr">
        <is>
          <t>Corporate</t>
        </is>
      </c>
      <c r="G109" s="15" t="inlineStr">
        <is>
          <t>Farhan Dar</t>
        </is>
      </c>
      <c r="H109" s="15" t="inlineStr">
        <is>
          <t>Corporate</t>
        </is>
      </c>
      <c r="I109" s="14" t="n">
        <v>28000000</v>
      </c>
      <c r="J109" s="14" t="n">
        <v>407700</v>
      </c>
      <c r="K109" s="14" t="n">
        <v>165841</v>
      </c>
      <c r="L109" s="14" t="n">
        <v>1</v>
      </c>
      <c r="M109" s="15" t="inlineStr">
        <is>
          <t>Lapsed</t>
        </is>
      </c>
    </row>
    <row r="110">
      <c r="A110" s="7" t="inlineStr">
        <is>
          <t>ADM-TRV-MUL-2024-2105</t>
        </is>
      </c>
      <c r="B110" s="40" t="n">
        <v>45536</v>
      </c>
      <c r="C110" s="7" t="inlineStr">
        <is>
          <t>Multan</t>
        </is>
      </c>
      <c r="D110" s="7" t="inlineStr">
        <is>
          <t>Central</t>
        </is>
      </c>
      <c r="E110" s="7" t="inlineStr">
        <is>
          <t>Travel</t>
        </is>
      </c>
      <c r="F110" s="7" t="inlineStr">
        <is>
          <t>Direct</t>
        </is>
      </c>
      <c r="G110" s="7" t="inlineStr">
        <is>
          <t>Sobia Naz</t>
        </is>
      </c>
      <c r="H110" s="7" t="inlineStr">
        <is>
          <t>Corporate</t>
        </is>
      </c>
      <c r="I110" s="11" t="n">
        <v>6800000</v>
      </c>
      <c r="J110" s="11" t="n">
        <v>165000</v>
      </c>
      <c r="K110" s="11" t="n">
        <v>287159</v>
      </c>
      <c r="L110" s="11" t="n">
        <v>1</v>
      </c>
      <c r="M110" s="7" t="inlineStr">
        <is>
          <t>Cancelled</t>
        </is>
      </c>
    </row>
    <row r="111">
      <c r="A111" s="15" t="inlineStr">
        <is>
          <t>ADM-MTR-PEW-2024-2106</t>
        </is>
      </c>
      <c r="B111" s="41" t="n">
        <v>45573</v>
      </c>
      <c r="C111" s="15" t="inlineStr">
        <is>
          <t>Peshawar</t>
        </is>
      </c>
      <c r="D111" s="15" t="inlineStr">
        <is>
          <t>North</t>
        </is>
      </c>
      <c r="E111" s="15" t="inlineStr">
        <is>
          <t>Motor</t>
        </is>
      </c>
      <c r="F111" s="15" t="inlineStr">
        <is>
          <t>Agency</t>
        </is>
      </c>
      <c r="G111" s="15" t="inlineStr">
        <is>
          <t>Junaid Akram</t>
        </is>
      </c>
      <c r="H111" s="15" t="inlineStr">
        <is>
          <t>Individual</t>
        </is>
      </c>
      <c r="I111" s="14" t="n">
        <v>11500000</v>
      </c>
      <c r="J111" s="14" t="n">
        <v>164500</v>
      </c>
      <c r="K111" s="14" t="n">
        <v>116615</v>
      </c>
      <c r="L111" s="14" t="n">
        <v>1</v>
      </c>
      <c r="M111" s="15" t="inlineStr">
        <is>
          <t>Active</t>
        </is>
      </c>
    </row>
    <row r="112">
      <c r="A112" s="7" t="inlineStr">
        <is>
          <t>ADM-HLT-QTA-2024-2107</t>
        </is>
      </c>
      <c r="B112" s="40" t="n">
        <v>45611</v>
      </c>
      <c r="C112" s="7" t="inlineStr">
        <is>
          <t>Quetta</t>
        </is>
      </c>
      <c r="D112" s="7" t="inlineStr">
        <is>
          <t>South</t>
        </is>
      </c>
      <c r="E112" s="7" t="inlineStr">
        <is>
          <t>Health</t>
        </is>
      </c>
      <c r="F112" s="7" t="inlineStr">
        <is>
          <t>Bancassurance</t>
        </is>
      </c>
      <c r="G112" s="7" t="inlineStr">
        <is>
          <t>Hamid Raza</t>
        </is>
      </c>
      <c r="H112" s="7" t="inlineStr">
        <is>
          <t>Corporate</t>
        </is>
      </c>
      <c r="I112" s="11" t="n">
        <v>1200000</v>
      </c>
      <c r="J112" s="11" t="n">
        <v>20400</v>
      </c>
      <c r="K112" s="11" t="n">
        <v>38497</v>
      </c>
      <c r="L112" s="11" t="n">
        <v>1</v>
      </c>
      <c r="M112" s="7" t="inlineStr">
        <is>
          <t>Active</t>
        </is>
      </c>
    </row>
    <row r="113">
      <c r="A113" s="15" t="inlineStr">
        <is>
          <t>ADM-MSC-HYD-2024-2108</t>
        </is>
      </c>
      <c r="B113" s="41" t="n">
        <v>45648</v>
      </c>
      <c r="C113" s="15" t="inlineStr">
        <is>
          <t>Hyderabad</t>
        </is>
      </c>
      <c r="D113" s="15" t="inlineStr">
        <is>
          <t>South</t>
        </is>
      </c>
      <c r="E113" s="15" t="inlineStr">
        <is>
          <t>Miscellaneous</t>
        </is>
      </c>
      <c r="F113" s="15" t="inlineStr">
        <is>
          <t>Corporate</t>
        </is>
      </c>
      <c r="G113" s="15" t="inlineStr">
        <is>
          <t>Nimra Saleem</t>
        </is>
      </c>
      <c r="H113" s="15" t="inlineStr">
        <is>
          <t>Corporate</t>
        </is>
      </c>
      <c r="I113" s="14" t="n">
        <v>28000000</v>
      </c>
      <c r="J113" s="14" t="n">
        <v>283000</v>
      </c>
      <c r="K113" s="14" t="n">
        <v>228763</v>
      </c>
      <c r="L113" s="14" t="n">
        <v>1</v>
      </c>
      <c r="M113" s="15" t="inlineStr">
        <is>
          <t>Renewed</t>
        </is>
      </c>
    </row>
    <row r="114">
      <c r="A114" s="7" t="inlineStr">
        <is>
          <t>ADM-MAR-SKT-2024-2109</t>
        </is>
      </c>
      <c r="B114" s="40" t="n">
        <v>45292</v>
      </c>
      <c r="C114" s="7" t="inlineStr">
        <is>
          <t>Sialkot</t>
        </is>
      </c>
      <c r="D114" s="7" t="inlineStr">
        <is>
          <t>Central</t>
        </is>
      </c>
      <c r="E114" s="7" t="inlineStr">
        <is>
          <t>Marine Cargo</t>
        </is>
      </c>
      <c r="F114" s="7" t="inlineStr">
        <is>
          <t>Direct</t>
        </is>
      </c>
      <c r="G114" s="7" t="inlineStr">
        <is>
          <t>Tariq Jameel</t>
        </is>
      </c>
      <c r="H114" s="7" t="inlineStr">
        <is>
          <t>Individual</t>
        </is>
      </c>
      <c r="I114" s="11" t="n">
        <v>28000000</v>
      </c>
      <c r="J114" s="11" t="n">
        <v>167600</v>
      </c>
      <c r="K114" s="11" t="n">
        <v>156514</v>
      </c>
      <c r="L114" s="11" t="n">
        <v>1</v>
      </c>
      <c r="M114" s="7" t="inlineStr">
        <is>
          <t>Lapsed</t>
        </is>
      </c>
    </row>
    <row r="115">
      <c r="A115" s="15" t="inlineStr">
        <is>
          <t>ADM-ENG-RWP-2024-2110</t>
        </is>
      </c>
      <c r="B115" s="41" t="n">
        <v>45330</v>
      </c>
      <c r="C115" s="15" t="inlineStr">
        <is>
          <t>Rawalpindi</t>
        </is>
      </c>
      <c r="D115" s="15" t="inlineStr">
        <is>
          <t>North</t>
        </is>
      </c>
      <c r="E115" s="15" t="inlineStr">
        <is>
          <t>Engineering</t>
        </is>
      </c>
      <c r="F115" s="15" t="inlineStr">
        <is>
          <t>Agency</t>
        </is>
      </c>
      <c r="G115" s="15" t="inlineStr">
        <is>
          <t>Nadia Hassan</t>
        </is>
      </c>
      <c r="H115" s="15" t="inlineStr">
        <is>
          <t>Corporate</t>
        </is>
      </c>
      <c r="I115" s="14" t="n">
        <v>72000000</v>
      </c>
      <c r="J115" s="14" t="n">
        <v>1093900</v>
      </c>
      <c r="K115" s="14" t="n">
        <v>310278</v>
      </c>
      <c r="L115" s="14" t="n">
        <v>1</v>
      </c>
      <c r="M115" s="15" t="inlineStr">
        <is>
          <t>Cancelled</t>
        </is>
      </c>
    </row>
    <row r="116">
      <c r="A116" s="7" t="inlineStr">
        <is>
          <t>ADM-FIR-KHI-2024-2111</t>
        </is>
      </c>
      <c r="B116" s="40" t="n">
        <v>45366</v>
      </c>
      <c r="C116" s="7" t="inlineStr">
        <is>
          <t>Karachi Main</t>
        </is>
      </c>
      <c r="D116" s="7" t="inlineStr">
        <is>
          <t>South</t>
        </is>
      </c>
      <c r="E116" s="7" t="inlineStr">
        <is>
          <t>Fire &amp; Property</t>
        </is>
      </c>
      <c r="F116" s="7" t="inlineStr">
        <is>
          <t>Bancassurance</t>
        </is>
      </c>
      <c r="G116" s="7" t="inlineStr">
        <is>
          <t>Salman Shah</t>
        </is>
      </c>
      <c r="H116" s="7" t="inlineStr">
        <is>
          <t>Corporate</t>
        </is>
      </c>
      <c r="I116" s="11" t="n">
        <v>11500000</v>
      </c>
      <c r="J116" s="11" t="n">
        <v>355200</v>
      </c>
      <c r="K116" s="11" t="n">
        <v>7123</v>
      </c>
      <c r="L116" s="11" t="n">
        <v>1</v>
      </c>
      <c r="M116" s="7" t="inlineStr">
        <is>
          <t>Active</t>
        </is>
      </c>
    </row>
    <row r="117">
      <c r="A117" s="15" t="inlineStr">
        <is>
          <t>ADM-TRV-LHR-2024-2112</t>
        </is>
      </c>
      <c r="B117" s="41" t="n">
        <v>45404</v>
      </c>
      <c r="C117" s="15" t="inlineStr">
        <is>
          <t>Lahore Gulberg</t>
        </is>
      </c>
      <c r="D117" s="15" t="inlineStr">
        <is>
          <t>Central</t>
        </is>
      </c>
      <c r="E117" s="15" t="inlineStr">
        <is>
          <t>Travel</t>
        </is>
      </c>
      <c r="F117" s="15" t="inlineStr">
        <is>
          <t>Corporate</t>
        </is>
      </c>
      <c r="G117" s="15" t="inlineStr">
        <is>
          <t>Komal Bashir</t>
        </is>
      </c>
      <c r="H117" s="15" t="inlineStr">
        <is>
          <t>Individual</t>
        </is>
      </c>
      <c r="I117" s="14" t="n">
        <v>28000000</v>
      </c>
      <c r="J117" s="14" t="n">
        <v>555900</v>
      </c>
      <c r="K117" s="14" t="n">
        <v>328413</v>
      </c>
      <c r="L117" s="14" t="n">
        <v>1</v>
      </c>
      <c r="M117" s="15" t="inlineStr">
        <is>
          <t>Active</t>
        </is>
      </c>
    </row>
    <row r="118">
      <c r="A118" s="7" t="inlineStr">
        <is>
          <t>ADM-MTR-ISB-2024-2113</t>
        </is>
      </c>
      <c r="B118" s="40" t="n">
        <v>45413</v>
      </c>
      <c r="C118" s="7" t="inlineStr">
        <is>
          <t>Islamabad Blue Area</t>
        </is>
      </c>
      <c r="D118" s="7" t="inlineStr">
        <is>
          <t>North</t>
        </is>
      </c>
      <c r="E118" s="7" t="inlineStr">
        <is>
          <t>Motor</t>
        </is>
      </c>
      <c r="F118" s="7" t="inlineStr">
        <is>
          <t>Direct</t>
        </is>
      </c>
      <c r="G118" s="7" t="inlineStr">
        <is>
          <t>Waqar Younis Khan</t>
        </is>
      </c>
      <c r="H118" s="7" t="inlineStr">
        <is>
          <t>Corporate</t>
        </is>
      </c>
      <c r="I118" s="11" t="n">
        <v>28000000</v>
      </c>
      <c r="J118" s="11" t="n">
        <v>770600</v>
      </c>
      <c r="K118" s="11" t="n">
        <v>429829</v>
      </c>
      <c r="L118" s="11" t="n">
        <v>1</v>
      </c>
      <c r="M118" s="7" t="inlineStr">
        <is>
          <t>Renewed</t>
        </is>
      </c>
    </row>
    <row r="119">
      <c r="A119" s="15" t="inlineStr">
        <is>
          <t>ADM-HLT-FSD-2024-2114</t>
        </is>
      </c>
      <c r="B119" s="41" t="n">
        <v>45451</v>
      </c>
      <c r="C119" s="15" t="inlineStr">
        <is>
          <t>Faisalabad</t>
        </is>
      </c>
      <c r="D119" s="15" t="inlineStr">
        <is>
          <t>Central</t>
        </is>
      </c>
      <c r="E119" s="15" t="inlineStr">
        <is>
          <t>Health</t>
        </is>
      </c>
      <c r="F119" s="15" t="inlineStr">
        <is>
          <t>Agency</t>
        </is>
      </c>
      <c r="G119" s="15" t="inlineStr">
        <is>
          <t>Amna Zubair</t>
        </is>
      </c>
      <c r="H119" s="15" t="inlineStr">
        <is>
          <t>Corporate</t>
        </is>
      </c>
      <c r="I119" s="14" t="n">
        <v>19000000</v>
      </c>
      <c r="J119" s="14" t="n">
        <v>179600</v>
      </c>
      <c r="K119" s="14" t="n">
        <v>109197</v>
      </c>
      <c r="L119" s="14" t="n">
        <v>1</v>
      </c>
      <c r="M119" s="15" t="inlineStr">
        <is>
          <t>Lapsed</t>
        </is>
      </c>
    </row>
    <row r="120">
      <c r="A120" s="7" t="inlineStr">
        <is>
          <t>ADM-MSC-MUL-2024-2115</t>
        </is>
      </c>
      <c r="B120" s="40" t="n">
        <v>45488</v>
      </c>
      <c r="C120" s="7" t="inlineStr">
        <is>
          <t>Multan</t>
        </is>
      </c>
      <c r="D120" s="7" t="inlineStr">
        <is>
          <t>Central</t>
        </is>
      </c>
      <c r="E120" s="7" t="inlineStr">
        <is>
          <t>Miscellaneous</t>
        </is>
      </c>
      <c r="F120" s="7" t="inlineStr">
        <is>
          <t>Bancassurance</t>
        </is>
      </c>
      <c r="G120" s="7" t="inlineStr">
        <is>
          <t>Rizwan Ali Soomro</t>
        </is>
      </c>
      <c r="H120" s="7" t="inlineStr">
        <is>
          <t>Individual</t>
        </is>
      </c>
      <c r="I120" s="11" t="n">
        <v>11500000</v>
      </c>
      <c r="J120" s="11" t="n">
        <v>268100</v>
      </c>
      <c r="K120" s="11" t="n">
        <v>402308</v>
      </c>
      <c r="L120" s="11" t="n">
        <v>1</v>
      </c>
      <c r="M120" s="7" t="inlineStr">
        <is>
          <t>Cancelled</t>
        </is>
      </c>
    </row>
    <row r="121">
      <c r="A121" s="15" t="inlineStr">
        <is>
          <t>ADM-MAR-PEW-2024-2116</t>
        </is>
      </c>
      <c r="B121" s="41" t="n">
        <v>45526</v>
      </c>
      <c r="C121" s="15" t="inlineStr">
        <is>
          <t>Peshawar</t>
        </is>
      </c>
      <c r="D121" s="15" t="inlineStr">
        <is>
          <t>North</t>
        </is>
      </c>
      <c r="E121" s="15" t="inlineStr">
        <is>
          <t>Marine Cargo</t>
        </is>
      </c>
      <c r="F121" s="15" t="inlineStr">
        <is>
          <t>Corporate</t>
        </is>
      </c>
      <c r="G121" s="15" t="inlineStr">
        <is>
          <t>Farhan Dar</t>
        </is>
      </c>
      <c r="H121" s="15" t="inlineStr">
        <is>
          <t>Corporate</t>
        </is>
      </c>
      <c r="I121" s="14" t="n">
        <v>6800000</v>
      </c>
      <c r="J121" s="14" t="n">
        <v>192200</v>
      </c>
      <c r="K121" s="14" t="n">
        <v>237922</v>
      </c>
      <c r="L121" s="14" t="n">
        <v>1</v>
      </c>
      <c r="M121" s="15" t="inlineStr">
        <is>
          <t>Active</t>
        </is>
      </c>
    </row>
    <row r="122">
      <c r="A122" s="7" t="inlineStr">
        <is>
          <t>ADM-ENG-QTA-2024-2117</t>
        </is>
      </c>
      <c r="B122" s="40" t="n">
        <v>45536</v>
      </c>
      <c r="C122" s="7" t="inlineStr">
        <is>
          <t>Quetta</t>
        </is>
      </c>
      <c r="D122" s="7" t="inlineStr">
        <is>
          <t>South</t>
        </is>
      </c>
      <c r="E122" s="7" t="inlineStr">
        <is>
          <t>Engineering</t>
        </is>
      </c>
      <c r="F122" s="7" t="inlineStr">
        <is>
          <t>Direct</t>
        </is>
      </c>
      <c r="G122" s="7" t="inlineStr">
        <is>
          <t>Sobia Naz</t>
        </is>
      </c>
      <c r="H122" s="7" t="inlineStr">
        <is>
          <t>Corporate</t>
        </is>
      </c>
      <c r="I122" s="11" t="n">
        <v>1200000</v>
      </c>
      <c r="J122" s="11" t="n">
        <v>8500</v>
      </c>
      <c r="K122" s="11" t="n">
        <v>1655</v>
      </c>
      <c r="L122" s="11" t="n">
        <v>1</v>
      </c>
      <c r="M122" s="7" t="inlineStr">
        <is>
          <t>Active</t>
        </is>
      </c>
    </row>
    <row r="123">
      <c r="A123" s="15" t="inlineStr">
        <is>
          <t>ADM-FIR-HYD-2024-2118</t>
        </is>
      </c>
      <c r="B123" s="41" t="n">
        <v>45573</v>
      </c>
      <c r="C123" s="15" t="inlineStr">
        <is>
          <t>Hyderabad</t>
        </is>
      </c>
      <c r="D123" s="15" t="inlineStr">
        <is>
          <t>South</t>
        </is>
      </c>
      <c r="E123" s="15" t="inlineStr">
        <is>
          <t>Fire &amp; Property</t>
        </is>
      </c>
      <c r="F123" s="15" t="inlineStr">
        <is>
          <t>Agency</t>
        </is>
      </c>
      <c r="G123" s="15" t="inlineStr">
        <is>
          <t>Junaid Akram</t>
        </is>
      </c>
      <c r="H123" s="15" t="inlineStr">
        <is>
          <t>Individual</t>
        </is>
      </c>
      <c r="I123" s="14" t="n">
        <v>3400000</v>
      </c>
      <c r="J123" s="14" t="n">
        <v>49100</v>
      </c>
      <c r="K123" s="14" t="n">
        <v>31206</v>
      </c>
      <c r="L123" s="14" t="n">
        <v>1</v>
      </c>
      <c r="M123" s="15" t="inlineStr">
        <is>
          <t>Renewed</t>
        </is>
      </c>
    </row>
    <row r="124">
      <c r="A124" s="7" t="inlineStr">
        <is>
          <t>ADM-TRV-SKT-2024-2119</t>
        </is>
      </c>
      <c r="B124" s="40" t="n">
        <v>45611</v>
      </c>
      <c r="C124" s="7" t="inlineStr">
        <is>
          <t>Sialkot</t>
        </is>
      </c>
      <c r="D124" s="7" t="inlineStr">
        <is>
          <t>Central</t>
        </is>
      </c>
      <c r="E124" s="7" t="inlineStr">
        <is>
          <t>Travel</t>
        </is>
      </c>
      <c r="F124" s="7" t="inlineStr">
        <is>
          <t>Bancassurance</t>
        </is>
      </c>
      <c r="G124" s="7" t="inlineStr">
        <is>
          <t>Hamid Raza</t>
        </is>
      </c>
      <c r="H124" s="7" t="inlineStr">
        <is>
          <t>Corporate</t>
        </is>
      </c>
      <c r="I124" s="11" t="n">
        <v>72000000</v>
      </c>
      <c r="J124" s="11" t="n">
        <v>586400</v>
      </c>
      <c r="K124" s="11" t="n">
        <v>404374</v>
      </c>
      <c r="L124" s="11" t="n">
        <v>1</v>
      </c>
      <c r="M124" s="7" t="inlineStr">
        <is>
          <t>Lapsed</t>
        </is>
      </c>
    </row>
    <row r="125">
      <c r="A125" s="15" t="inlineStr">
        <is>
          <t>ADM-MTR-RWP-2024-2120</t>
        </is>
      </c>
      <c r="B125" s="41" t="n">
        <v>45648</v>
      </c>
      <c r="C125" s="15" t="inlineStr">
        <is>
          <t>Rawalpindi</t>
        </is>
      </c>
      <c r="D125" s="15" t="inlineStr">
        <is>
          <t>North</t>
        </is>
      </c>
      <c r="E125" s="15" t="inlineStr">
        <is>
          <t>Motor</t>
        </is>
      </c>
      <c r="F125" s="15" t="inlineStr">
        <is>
          <t>Corporate</t>
        </is>
      </c>
      <c r="G125" s="15" t="inlineStr">
        <is>
          <t>Nimra Saleem</t>
        </is>
      </c>
      <c r="H125" s="15" t="inlineStr">
        <is>
          <t>Corporate</t>
        </is>
      </c>
      <c r="I125" s="14" t="n">
        <v>6800000</v>
      </c>
      <c r="J125" s="14" t="n">
        <v>111000</v>
      </c>
      <c r="K125" s="14" t="n">
        <v>91930</v>
      </c>
      <c r="L125" s="14" t="n">
        <v>1</v>
      </c>
      <c r="M125" s="15" t="inlineStr">
        <is>
          <t>Cancelled</t>
        </is>
      </c>
    </row>
    <row r="127">
      <c r="A127" s="9" t="inlineStr">
        <is>
          <t>Table B — Scorecard thresholds</t>
        </is>
      </c>
    </row>
    <row r="128" ht="30" customHeight="1">
      <c r="A128" s="10" t="inlineStr">
        <is>
          <t>Measure</t>
        </is>
      </c>
      <c r="B128" s="10" t="inlineStr">
        <is>
          <t>Green</t>
        </is>
      </c>
      <c r="C128" s="10" t="inlineStr">
        <is>
          <t>Amber</t>
        </is>
      </c>
      <c r="D128" s="10" t="inlineStr">
        <is>
          <t>Red</t>
        </is>
      </c>
    </row>
    <row r="129">
      <c r="A129" s="7" t="inlineStr">
        <is>
          <t>Loss Ratio</t>
        </is>
      </c>
      <c r="B129" s="7" t="inlineStr">
        <is>
          <t>below 50%</t>
        </is>
      </c>
      <c r="C129" s="7" t="inlineStr">
        <is>
          <t>50% to 65%</t>
        </is>
      </c>
      <c r="D129" s="7" t="inlineStr">
        <is>
          <t>above 65%</t>
        </is>
      </c>
    </row>
    <row r="130">
      <c r="A130" s="15" t="inlineStr">
        <is>
          <t>Premium growth</t>
        </is>
      </c>
      <c r="B130" s="15" t="inlineStr">
        <is>
          <t>above 10%</t>
        </is>
      </c>
      <c r="C130" s="15" t="inlineStr">
        <is>
          <t>0% to 10%</t>
        </is>
      </c>
      <c r="D130" s="15" t="inlineStr">
        <is>
          <t>negative</t>
        </is>
      </c>
    </row>
    <row r="131">
      <c r="A131" s="7" t="inlineStr">
        <is>
          <t>Policy count</t>
        </is>
      </c>
      <c r="B131" s="7" t="inlineStr">
        <is>
          <t>above 40</t>
        </is>
      </c>
      <c r="C131" s="7" t="inlineStr">
        <is>
          <t>20 to 40</t>
        </is>
      </c>
      <c r="D131" s="7" t="inlineStr">
        <is>
          <t>below 20</t>
        </is>
      </c>
    </row>
    <row r="133">
      <c r="A13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77.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Branch Scorecard readable in five seconds</t>
        </is>
      </c>
    </row>
    <row r="3">
      <c r="A3" s="21" t="inlineStr">
        <is>
          <t>Prepared for:</t>
        </is>
      </c>
      <c r="B3" s="22" t="inlineStr">
        <is>
          <t>Regional Head — South</t>
        </is>
      </c>
    </row>
    <row r="4">
      <c r="A4" s="21" t="inlineStr">
        <is>
          <t>Prepared by:</t>
        </is>
      </c>
      <c r="B4" s="23" t="n"/>
    </row>
    <row r="5">
      <c r="A5" s="21" t="inlineStr">
        <is>
          <t>Reporting date:</t>
        </is>
      </c>
      <c r="B5" s="22" t="inlineStr">
        <is>
          <t>As at reporting date shown on the dataset</t>
        </is>
      </c>
    </row>
    <row r="7" ht="44" customHeight="1">
      <c r="A7" s="24" t="inlineStr">
        <is>
          <t>The scorecard is read on a phone before the Monday call. In its current form it is a block of numbers and the Regional Head has said he stops reading after the third row.</t>
        </is>
      </c>
    </row>
    <row r="9">
      <c r="A9" s="25" t="inlineStr">
        <is>
          <t>Source data: '3.6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Branch Scorecard readable in five seconds</t>
        </is>
      </c>
      <c r="C13" s="38" t="inlineStr">
        <is>
          <t>A scorecard pivot with Branch on rows showing premium, claims, policy count and loss ratio, formatted so that breached loss ratios, top premium branches and relative policy volumes are visible without reading a single number.</t>
        </is>
      </c>
      <c r="D13" s="37" t="inlineStr">
        <is>
          <t>Regional Head — South</t>
        </is>
      </c>
      <c r="E13" s="31" t="n"/>
    </row>
    <row r="14" ht="52" customHeight="1">
      <c r="A14" s="35" t="n">
        <v>2</v>
      </c>
      <c r="B14" s="36" t="inlineStr">
        <is>
          <t>Threshold-based traffic lights, not percentiles</t>
        </is>
      </c>
      <c r="C14" s="38" t="inlineStr">
        <is>
          <t>The loss ratio column with an icon set driven by the published numeric thresholds rather than percentiles, and the thresholds documented beside the scorecard.</t>
        </is>
      </c>
      <c r="D14" s="37" t="inlineStr">
        <is>
          <t>Chief Underwriting Officer</t>
        </is>
      </c>
      <c r="E14" s="31" t="n"/>
    </row>
    <row r="15" ht="52" customHeight="1">
      <c r="A15" s="35" t="n">
        <v>3</v>
      </c>
      <c r="B15" s="36" t="inlineStr">
        <is>
          <t>Whole-row highlighting for breached branches</t>
        </is>
      </c>
      <c r="C15" s="38" t="inlineStr">
        <is>
          <t>A formula-based rule shading the entire row where the loss ratio exceeds 65%, plus a Top 10 Items rule highlighting the three largest branches by premium.</t>
        </is>
      </c>
      <c r="D15" s="37" t="inlineStr">
        <is>
          <t>Regional Head — South</t>
        </is>
      </c>
      <c r="E15" s="31" t="n"/>
    </row>
    <row r="16" ht="52" customHeight="1">
      <c r="A16" s="35" t="n">
        <v>4</v>
      </c>
      <c r="B16" s="36" t="inlineStr">
        <is>
          <t>Refresh survival test</t>
        </is>
      </c>
      <c r="C16" s="38" t="inlineStr">
        <is>
          <t>Evidence that the formatting survives: record the scope option chosen for each rule, refresh the pivot after changing the source, and confirm every rule still applies.</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78.xml><?xml version="1.0" encoding="utf-8"?>
<worksheet xmlns="http://schemas.openxmlformats.org/spreadsheetml/2006/main">
  <sheetPr>
    <tabColor rgb="001F3864"/>
    <outlinePr summaryBelow="1" summaryRight="1"/>
    <pageSetUpPr/>
  </sheetPr>
  <dimension ref="A1:F30"/>
  <sheetViews>
    <sheetView showGridLines="0" workbookViewId="0">
      <pane ySplit="5" topLeftCell="A6" activePane="bottomLeft" state="frozen"/>
      <selection pane="bottomLeft" activeCell="A1" sqref="A1"/>
    </sheetView>
  </sheetViews>
  <sheetFormatPr baseColWidth="8" defaultRowHeight="15"/>
  <cols>
    <col width="34" customWidth="1" min="1" max="1"/>
    <col width="54" customWidth="1" min="2" max="2"/>
    <col width="18" customWidth="1" min="3" max="3"/>
    <col width="16" customWidth="1" min="4" max="4"/>
    <col width="20" customWidth="1" min="5" max="5"/>
  </cols>
  <sheetData>
    <row r="1" ht="26" customHeight="1">
      <c r="A1" s="1" t="inlineStr">
        <is>
          <t>Dataset 3.7  —  Accessing Get &amp; Transform from the Data Tab in Excel 2016</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Small sample to load into the Query Editor</t>
        </is>
      </c>
    </row>
    <row r="5" ht="30" customHeight="1">
      <c r="A5" s="10" t="inlineStr">
        <is>
          <t>Policy No</t>
        </is>
      </c>
      <c r="B5" s="10" t="inlineStr">
        <is>
          <t>Branch</t>
        </is>
      </c>
      <c r="C5" s="10" t="inlineStr">
        <is>
          <t>Product</t>
        </is>
      </c>
      <c r="D5" s="10" t="inlineStr">
        <is>
          <t>Booking Date</t>
        </is>
      </c>
      <c r="E5" s="10" t="inlineStr">
        <is>
          <t>Gross Premium (PKR)</t>
        </is>
      </c>
    </row>
    <row r="6">
      <c r="A6" s="7" t="inlineStr">
        <is>
          <t>ADM-MTR-KHI-2024-2001</t>
        </is>
      </c>
      <c r="B6" s="7" t="inlineStr">
        <is>
          <t>Karachi Main</t>
        </is>
      </c>
      <c r="C6" s="7" t="inlineStr">
        <is>
          <t>Motor</t>
        </is>
      </c>
      <c r="D6" s="40" t="n">
        <v>45292</v>
      </c>
      <c r="E6" s="11" t="n">
        <v>33200</v>
      </c>
    </row>
    <row r="7">
      <c r="A7" s="15" t="inlineStr">
        <is>
          <t>ADM-HLT-LHR-2024-2002</t>
        </is>
      </c>
      <c r="B7" s="15" t="inlineStr">
        <is>
          <t>Lahore Gulberg</t>
        </is>
      </c>
      <c r="C7" s="15" t="inlineStr">
        <is>
          <t>Health</t>
        </is>
      </c>
      <c r="D7" s="41" t="n">
        <v>45330</v>
      </c>
      <c r="E7" s="14" t="n">
        <v>15300</v>
      </c>
    </row>
    <row r="8">
      <c r="A8" s="7" t="inlineStr">
        <is>
          <t>ADM-MSC-ISB-2024-2003</t>
        </is>
      </c>
      <c r="B8" s="7" t="inlineStr">
        <is>
          <t>Islamabad Blue Area</t>
        </is>
      </c>
      <c r="C8" s="7" t="inlineStr">
        <is>
          <t>Miscellaneous</t>
        </is>
      </c>
      <c r="D8" s="40" t="n">
        <v>45366</v>
      </c>
      <c r="E8" s="11" t="n">
        <v>206100</v>
      </c>
    </row>
    <row r="9">
      <c r="A9" s="15" t="inlineStr">
        <is>
          <t>ADM-MAR-FSD-2024-2004</t>
        </is>
      </c>
      <c r="B9" s="15" t="inlineStr">
        <is>
          <t>Faisalabad</t>
        </is>
      </c>
      <c r="C9" s="15" t="inlineStr">
        <is>
          <t>Marine Cargo</t>
        </is>
      </c>
      <c r="D9" s="41" t="n">
        <v>45404</v>
      </c>
      <c r="E9" s="14" t="n">
        <v>1335500</v>
      </c>
    </row>
    <row r="10">
      <c r="A10" s="7" t="inlineStr">
        <is>
          <t>ADM-ENG-MUL-2024-2005</t>
        </is>
      </c>
      <c r="B10" s="7" t="inlineStr">
        <is>
          <t>Multan</t>
        </is>
      </c>
      <c r="C10" s="7" t="inlineStr">
        <is>
          <t>Engineering</t>
        </is>
      </c>
      <c r="D10" s="40" t="n">
        <v>45413</v>
      </c>
      <c r="E10" s="11" t="n">
        <v>14500</v>
      </c>
    </row>
    <row r="11">
      <c r="A11" s="15" t="inlineStr">
        <is>
          <t>ADM-FIR-PEW-2024-2006</t>
        </is>
      </c>
      <c r="B11" s="15" t="inlineStr">
        <is>
          <t>Peshawar</t>
        </is>
      </c>
      <c r="C11" s="15" t="inlineStr">
        <is>
          <t>Fire &amp; Property</t>
        </is>
      </c>
      <c r="D11" s="41" t="n">
        <v>45451</v>
      </c>
      <c r="E11" s="14" t="n">
        <v>1519000</v>
      </c>
    </row>
    <row r="12">
      <c r="A12" s="7" t="inlineStr">
        <is>
          <t>ADM-TRV-QTA-2024-2007</t>
        </is>
      </c>
      <c r="B12" s="7" t="inlineStr">
        <is>
          <t>Quetta</t>
        </is>
      </c>
      <c r="C12" s="7" t="inlineStr">
        <is>
          <t>Travel</t>
        </is>
      </c>
      <c r="D12" s="40" t="n">
        <v>45488</v>
      </c>
      <c r="E12" s="11" t="n">
        <v>23900</v>
      </c>
    </row>
    <row r="13">
      <c r="A13" s="15" t="inlineStr">
        <is>
          <t>ADM-MTR-HYD-2024-2008</t>
        </is>
      </c>
      <c r="B13" s="15" t="inlineStr">
        <is>
          <t>Hyderabad</t>
        </is>
      </c>
      <c r="C13" s="15" t="inlineStr">
        <is>
          <t>Motor</t>
        </is>
      </c>
      <c r="D13" s="41" t="n">
        <v>45526</v>
      </c>
      <c r="E13" s="14" t="n">
        <v>204900</v>
      </c>
    </row>
    <row r="14">
      <c r="A14" s="7" t="inlineStr">
        <is>
          <t>ADM-HLT-SKT-2024-2009</t>
        </is>
      </c>
      <c r="B14" s="7" t="inlineStr">
        <is>
          <t>Sialkot</t>
        </is>
      </c>
      <c r="C14" s="7" t="inlineStr">
        <is>
          <t>Health</t>
        </is>
      </c>
      <c r="D14" s="40" t="n">
        <v>45536</v>
      </c>
      <c r="E14" s="11" t="n">
        <v>145900</v>
      </c>
    </row>
    <row r="15">
      <c r="A15" s="15" t="inlineStr">
        <is>
          <t>ADM-MSC-RWP-2024-2010</t>
        </is>
      </c>
      <c r="B15" s="15" t="inlineStr">
        <is>
          <t>Rawalpindi</t>
        </is>
      </c>
      <c r="C15" s="15" t="inlineStr">
        <is>
          <t>Miscellaneous</t>
        </is>
      </c>
      <c r="D15" s="41" t="n">
        <v>45573</v>
      </c>
      <c r="E15" s="14" t="n">
        <v>20000</v>
      </c>
    </row>
    <row r="16">
      <c r="A16" s="7" t="inlineStr">
        <is>
          <t>ADM-MAR-KHI-2024-2011</t>
        </is>
      </c>
      <c r="B16" s="7" t="inlineStr">
        <is>
          <t>Karachi Main</t>
        </is>
      </c>
      <c r="C16" s="7" t="inlineStr">
        <is>
          <t>Marine Cargo</t>
        </is>
      </c>
      <c r="D16" s="40" t="n">
        <v>45611</v>
      </c>
      <c r="E16" s="11" t="n">
        <v>716000</v>
      </c>
    </row>
    <row r="17">
      <c r="A17" s="15" t="inlineStr">
        <is>
          <t>ADM-ENG-LHR-2024-2012</t>
        </is>
      </c>
      <c r="B17" s="15" t="inlineStr">
        <is>
          <t>Lahore Gulberg</t>
        </is>
      </c>
      <c r="C17" s="15" t="inlineStr">
        <is>
          <t>Engineering</t>
        </is>
      </c>
      <c r="D17" s="41" t="n">
        <v>45648</v>
      </c>
      <c r="E17" s="14" t="n">
        <v>722600</v>
      </c>
    </row>
    <row r="18">
      <c r="A18" s="7" t="inlineStr">
        <is>
          <t>ADM-FIR-ISB-2024-2013</t>
        </is>
      </c>
      <c r="B18" s="7" t="inlineStr">
        <is>
          <t>Islamabad Blue Area</t>
        </is>
      </c>
      <c r="C18" s="7" t="inlineStr">
        <is>
          <t>Fire &amp; Property</t>
        </is>
      </c>
      <c r="D18" s="40" t="n">
        <v>45292</v>
      </c>
      <c r="E18" s="11" t="n">
        <v>472900</v>
      </c>
    </row>
    <row r="19">
      <c r="A19" s="15" t="inlineStr">
        <is>
          <t>ADM-TRV-FSD-2024-2014</t>
        </is>
      </c>
      <c r="B19" s="15" t="inlineStr">
        <is>
          <t>Faisalabad</t>
        </is>
      </c>
      <c r="C19" s="15" t="inlineStr">
        <is>
          <t>Travel</t>
        </is>
      </c>
      <c r="D19" s="41" t="n">
        <v>45330</v>
      </c>
      <c r="E19" s="14" t="n">
        <v>66300</v>
      </c>
    </row>
    <row r="20">
      <c r="A20" s="7" t="inlineStr">
        <is>
          <t>ADM-MTR-MUL-2024-2015</t>
        </is>
      </c>
      <c r="B20" s="7" t="inlineStr">
        <is>
          <t>Multan</t>
        </is>
      </c>
      <c r="C20" s="7" t="inlineStr">
        <is>
          <t>Motor</t>
        </is>
      </c>
      <c r="D20" s="40" t="n">
        <v>45366</v>
      </c>
      <c r="E20" s="11" t="n">
        <v>502000</v>
      </c>
    </row>
    <row r="22">
      <c r="A22" s="9" t="inlineStr">
        <is>
          <t>Table B — Where to find each command in Excel 2016</t>
        </is>
      </c>
    </row>
    <row r="23" ht="30" customHeight="1">
      <c r="A23" s="10" t="inlineStr">
        <is>
          <t>Task</t>
        </is>
      </c>
      <c r="B23" s="10" t="inlineStr">
        <is>
          <t>Location</t>
        </is>
      </c>
    </row>
    <row r="24">
      <c r="A24" s="7" t="inlineStr">
        <is>
          <t>Start a new query</t>
        </is>
      </c>
      <c r="B24" s="7" t="inlineStr">
        <is>
          <t>Data tab &gt; Get &amp; Transform group &gt; New Query</t>
        </is>
      </c>
    </row>
    <row r="25">
      <c r="A25" s="15" t="inlineStr">
        <is>
          <t>See all queries in the workbook</t>
        </is>
      </c>
      <c r="B25" s="15" t="inlineStr">
        <is>
          <t>Data tab &gt; Show Queries (or Queries &amp; Connections pane)</t>
        </is>
      </c>
    </row>
    <row r="26">
      <c r="A26" s="7" t="inlineStr">
        <is>
          <t>Reopen an existing query</t>
        </is>
      </c>
      <c r="B26" s="7" t="inlineStr">
        <is>
          <t>Double-click it in the Queries pane</t>
        </is>
      </c>
    </row>
    <row r="27">
      <c r="A27" s="15" t="inlineStr">
        <is>
          <t>Open the Query Editor manually</t>
        </is>
      </c>
      <c r="B27" s="15" t="inlineStr">
        <is>
          <t>New Query &gt; Launch Query Editor</t>
        </is>
      </c>
    </row>
    <row r="28">
      <c r="A28" s="7" t="inlineStr">
        <is>
          <t>Check the Power Query version</t>
        </is>
      </c>
      <c r="B28" s="7" t="inlineStr">
        <is>
          <t>Query Editor &gt; Help &gt; About</t>
        </is>
      </c>
    </row>
    <row r="30">
      <c r="A30"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79.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Power Query orientation for the reporting team</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Four analysts are moving from copy-and-paste to Get &amp; Transform this quarter. Two have already created queries that load duplicate tables onto the sheet because they did not understand the load options, and the workbook has grown to 40 MB.</t>
        </is>
      </c>
    </row>
    <row r="9">
      <c r="A9" s="25" t="inlineStr">
        <is>
          <t>Source data: '3.7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Power Query orientation for the reporting team</t>
        </is>
      </c>
      <c r="C13" s="38" t="inlineStr">
        <is>
          <t>An orientation record: the four New Query source categories available on the Data tab, where existing queries are listed, and how to reopen one for editing. Written so a new analyst can follow it.</t>
        </is>
      </c>
      <c r="D13" s="37" t="inlineStr">
        <is>
          <t>Head of MIS</t>
        </is>
      </c>
      <c r="E13" s="31" t="n"/>
    </row>
    <row r="14" ht="65" customHeight="1">
      <c r="A14" s="35" t="n">
        <v>2</v>
      </c>
      <c r="B14" s="36" t="inlineStr">
        <is>
          <t>First query on the policy sample</t>
        </is>
      </c>
      <c r="C14" s="38" t="inlineStr">
        <is>
          <t>A query named Policy_Feed built from the sample table, with a record of what Excel did to the range before the Query Editor opened, and every step Excel created automatically listed from the Applied Steps pane.</t>
        </is>
      </c>
      <c r="D14" s="37" t="inlineStr">
        <is>
          <t>Head of MIS</t>
        </is>
      </c>
      <c r="E14" s="31" t="n"/>
    </row>
    <row r="15" ht="52" customHeight="1">
      <c r="A15" s="35" t="n">
        <v>3</v>
      </c>
      <c r="B15" s="36" t="inlineStr">
        <is>
          <t>Staging query with no worksheet output</t>
        </is>
      </c>
      <c r="C15" s="38" t="inlineStr">
        <is>
          <t>The same query set to Only Create Connection, with confirmation that no worksheet was created and the query is still visible and editable in the Queries pane.</t>
        </is>
      </c>
      <c r="D15" s="37" t="inlineStr">
        <is>
          <t>Head of MIS</t>
        </is>
      </c>
      <c r="E15" s="31" t="n"/>
    </row>
    <row r="16" ht="65" customHeight="1">
      <c r="A16" s="35" t="n">
        <v>4</v>
      </c>
      <c r="B16" s="36" t="inlineStr">
        <is>
          <t>Business case note for the branch managers</t>
        </is>
      </c>
      <c r="C16" s="38" t="inlineStr">
        <is>
          <t>A two-line business case: the single practical reason Power Query beats copy-and-paste for a monthly branch file, and the difference between a worksheet formula and a step in Applied Steps.</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80.xml><?xml version="1.0" encoding="utf-8"?>
<worksheet xmlns="http://schemas.openxmlformats.org/spreadsheetml/2006/main">
  <sheetPr>
    <tabColor rgb="001F3864"/>
    <outlinePr summaryBelow="1" summaryRight="1"/>
    <pageSetUpPr/>
  </sheetPr>
  <dimension ref="A1:F44"/>
  <sheetViews>
    <sheetView showGridLines="0" workbookViewId="0">
      <pane ySplit="5" topLeftCell="A6" activePane="bottomLeft" state="frozen"/>
      <selection pane="bottomLeft" activeCell="A1" sqref="A1"/>
    </sheetView>
  </sheetViews>
  <sheetFormatPr baseColWidth="8" defaultRowHeight="15"/>
  <cols>
    <col width="26" customWidth="1" min="1" max="1"/>
    <col width="22" customWidth="1" min="2" max="2"/>
    <col width="14" customWidth="1" min="3" max="3"/>
    <col width="10" customWidth="1" min="4" max="4"/>
    <col width="14" customWidth="1" min="5" max="5"/>
    <col width="12" customWidth="1" min="6" max="6"/>
  </cols>
  <sheetData>
    <row r="1" ht="26" customHeight="1">
      <c r="A1" s="1" t="inlineStr">
        <is>
          <t>Dataset 3.8  —  Importing Data from Excel, CSV and Folder Sources</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Sample of the Excel source (save this sheet as its own .xlsx to practise)</t>
        </is>
      </c>
    </row>
    <row r="5" ht="30" customHeight="1">
      <c r="A5" s="10" t="inlineStr">
        <is>
          <t>Policy No</t>
        </is>
      </c>
      <c r="B5" s="10" t="inlineStr">
        <is>
          <t>Branch</t>
        </is>
      </c>
      <c r="C5" s="10" t="inlineStr">
        <is>
          <t>Product</t>
        </is>
      </c>
      <c r="D5" s="10" t="inlineStr">
        <is>
          <t>Booking Date</t>
        </is>
      </c>
      <c r="E5" s="10" t="inlineStr">
        <is>
          <t>Gross Premium (PKR)</t>
        </is>
      </c>
      <c r="F5" s="10" t="inlineStr">
        <is>
          <t>Claims Paid (PKR)</t>
        </is>
      </c>
    </row>
    <row r="6">
      <c r="A6" s="7" t="inlineStr">
        <is>
          <t>ADM-MTR-KHI-2024-2001</t>
        </is>
      </c>
      <c r="B6" s="7" t="inlineStr">
        <is>
          <t>Karachi Main</t>
        </is>
      </c>
      <c r="C6" s="7" t="inlineStr">
        <is>
          <t>Motor</t>
        </is>
      </c>
      <c r="D6" s="40" t="n">
        <v>45292</v>
      </c>
      <c r="E6" s="11" t="n">
        <v>33200</v>
      </c>
      <c r="F6" s="11" t="n">
        <v>52907</v>
      </c>
    </row>
    <row r="7">
      <c r="A7" s="15" t="inlineStr">
        <is>
          <t>ADM-HLT-LHR-2024-2002</t>
        </is>
      </c>
      <c r="B7" s="15" t="inlineStr">
        <is>
          <t>Lahore Gulberg</t>
        </is>
      </c>
      <c r="C7" s="15" t="inlineStr">
        <is>
          <t>Health</t>
        </is>
      </c>
      <c r="D7" s="41" t="n">
        <v>45330</v>
      </c>
      <c r="E7" s="14" t="n">
        <v>15300</v>
      </c>
      <c r="F7" s="14" t="n">
        <v>3207</v>
      </c>
    </row>
    <row r="8">
      <c r="A8" s="7" t="inlineStr">
        <is>
          <t>ADM-MSC-ISB-2024-2003</t>
        </is>
      </c>
      <c r="B8" s="7" t="inlineStr">
        <is>
          <t>Islamabad Blue Area</t>
        </is>
      </c>
      <c r="C8" s="7" t="inlineStr">
        <is>
          <t>Miscellaneous</t>
        </is>
      </c>
      <c r="D8" s="40" t="n">
        <v>45366</v>
      </c>
      <c r="E8" s="11" t="n">
        <v>206100</v>
      </c>
      <c r="F8" s="11" t="n">
        <v>260673</v>
      </c>
    </row>
    <row r="9">
      <c r="A9" s="15" t="inlineStr">
        <is>
          <t>ADM-MAR-FSD-2024-2004</t>
        </is>
      </c>
      <c r="B9" s="15" t="inlineStr">
        <is>
          <t>Faisalabad</t>
        </is>
      </c>
      <c r="C9" s="15" t="inlineStr">
        <is>
          <t>Marine Cargo</t>
        </is>
      </c>
      <c r="D9" s="41" t="n">
        <v>45404</v>
      </c>
      <c r="E9" s="14" t="n">
        <v>1335500</v>
      </c>
      <c r="F9" s="14" t="n">
        <v>125902</v>
      </c>
    </row>
    <row r="10">
      <c r="A10" s="7" t="inlineStr">
        <is>
          <t>ADM-ENG-MUL-2024-2005</t>
        </is>
      </c>
      <c r="B10" s="7" t="inlineStr">
        <is>
          <t>Multan</t>
        </is>
      </c>
      <c r="C10" s="7" t="inlineStr">
        <is>
          <t>Engineering</t>
        </is>
      </c>
      <c r="D10" s="40" t="n">
        <v>45413</v>
      </c>
      <c r="E10" s="11" t="n">
        <v>14500</v>
      </c>
      <c r="F10" s="11" t="n">
        <v>20595</v>
      </c>
    </row>
    <row r="11">
      <c r="A11" s="15" t="inlineStr">
        <is>
          <t>ADM-FIR-PEW-2024-2006</t>
        </is>
      </c>
      <c r="B11" s="15" t="inlineStr">
        <is>
          <t>Peshawar</t>
        </is>
      </c>
      <c r="C11" s="15" t="inlineStr">
        <is>
          <t>Fire &amp; Property</t>
        </is>
      </c>
      <c r="D11" s="41" t="n">
        <v>45451</v>
      </c>
      <c r="E11" s="14" t="n">
        <v>1519000</v>
      </c>
      <c r="F11" s="14" t="n">
        <v>2506397</v>
      </c>
    </row>
    <row r="12">
      <c r="A12" s="7" t="inlineStr">
        <is>
          <t>ADM-TRV-QTA-2024-2007</t>
        </is>
      </c>
      <c r="B12" s="7" t="inlineStr">
        <is>
          <t>Quetta</t>
        </is>
      </c>
      <c r="C12" s="7" t="inlineStr">
        <is>
          <t>Travel</t>
        </is>
      </c>
      <c r="D12" s="40" t="n">
        <v>45488</v>
      </c>
      <c r="E12" s="11" t="n">
        <v>23900</v>
      </c>
      <c r="F12" s="11" t="n">
        <v>3819</v>
      </c>
    </row>
    <row r="13">
      <c r="A13" s="15" t="inlineStr">
        <is>
          <t>ADM-MTR-HYD-2024-2008</t>
        </is>
      </c>
      <c r="B13" s="15" t="inlineStr">
        <is>
          <t>Hyderabad</t>
        </is>
      </c>
      <c r="C13" s="15" t="inlineStr">
        <is>
          <t>Motor</t>
        </is>
      </c>
      <c r="D13" s="41" t="n">
        <v>45526</v>
      </c>
      <c r="E13" s="14" t="n">
        <v>204900</v>
      </c>
      <c r="F13" s="14" t="n">
        <v>293808</v>
      </c>
    </row>
    <row r="14">
      <c r="A14" s="7" t="inlineStr">
        <is>
          <t>ADM-HLT-SKT-2024-2009</t>
        </is>
      </c>
      <c r="B14" s="7" t="inlineStr">
        <is>
          <t>Sialkot</t>
        </is>
      </c>
      <c r="C14" s="7" t="inlineStr">
        <is>
          <t>Health</t>
        </is>
      </c>
      <c r="D14" s="40" t="n">
        <v>45536</v>
      </c>
      <c r="E14" s="11" t="n">
        <v>145900</v>
      </c>
      <c r="F14" s="11" t="n">
        <v>101845</v>
      </c>
    </row>
    <row r="15">
      <c r="A15" s="15" t="inlineStr">
        <is>
          <t>ADM-MSC-RWP-2024-2010</t>
        </is>
      </c>
      <c r="B15" s="15" t="inlineStr">
        <is>
          <t>Rawalpindi</t>
        </is>
      </c>
      <c r="C15" s="15" t="inlineStr">
        <is>
          <t>Miscellaneous</t>
        </is>
      </c>
      <c r="D15" s="41" t="n">
        <v>45573</v>
      </c>
      <c r="E15" s="14" t="n">
        <v>20000</v>
      </c>
      <c r="F15" s="14" t="n">
        <v>15603</v>
      </c>
    </row>
    <row r="16">
      <c r="A16" s="7" t="inlineStr">
        <is>
          <t>ADM-MAR-KHI-2024-2011</t>
        </is>
      </c>
      <c r="B16" s="7" t="inlineStr">
        <is>
          <t>Karachi Main</t>
        </is>
      </c>
      <c r="C16" s="7" t="inlineStr">
        <is>
          <t>Marine Cargo</t>
        </is>
      </c>
      <c r="D16" s="40" t="n">
        <v>45611</v>
      </c>
      <c r="E16" s="11" t="n">
        <v>716000</v>
      </c>
      <c r="F16" s="11" t="n">
        <v>109689</v>
      </c>
    </row>
    <row r="17">
      <c r="A17" s="15" t="inlineStr">
        <is>
          <t>ADM-ENG-LHR-2024-2012</t>
        </is>
      </c>
      <c r="B17" s="15" t="inlineStr">
        <is>
          <t>Lahore Gulberg</t>
        </is>
      </c>
      <c r="C17" s="15" t="inlineStr">
        <is>
          <t>Engineering</t>
        </is>
      </c>
      <c r="D17" s="41" t="n">
        <v>45648</v>
      </c>
      <c r="E17" s="14" t="n">
        <v>722600</v>
      </c>
      <c r="F17" s="14" t="n">
        <v>919063</v>
      </c>
    </row>
    <row r="18">
      <c r="A18" s="7" t="inlineStr">
        <is>
          <t>ADM-FIR-ISB-2024-2013</t>
        </is>
      </c>
      <c r="B18" s="7" t="inlineStr">
        <is>
          <t>Islamabad Blue Area</t>
        </is>
      </c>
      <c r="C18" s="7" t="inlineStr">
        <is>
          <t>Fire &amp; Property</t>
        </is>
      </c>
      <c r="D18" s="40" t="n">
        <v>45292</v>
      </c>
      <c r="E18" s="11" t="n">
        <v>472900</v>
      </c>
      <c r="F18" s="11" t="n">
        <v>891308</v>
      </c>
    </row>
    <row r="19">
      <c r="A19" s="15" t="inlineStr">
        <is>
          <t>ADM-TRV-FSD-2024-2014</t>
        </is>
      </c>
      <c r="B19" s="15" t="inlineStr">
        <is>
          <t>Faisalabad</t>
        </is>
      </c>
      <c r="C19" s="15" t="inlineStr">
        <is>
          <t>Travel</t>
        </is>
      </c>
      <c r="D19" s="41" t="n">
        <v>45330</v>
      </c>
      <c r="E19" s="14" t="n">
        <v>66300</v>
      </c>
      <c r="F19" s="14" t="n">
        <v>114579</v>
      </c>
    </row>
    <row r="20">
      <c r="A20" s="7" t="inlineStr">
        <is>
          <t>ADM-MTR-MUL-2024-2015</t>
        </is>
      </c>
      <c r="B20" s="7" t="inlineStr">
        <is>
          <t>Multan</t>
        </is>
      </c>
      <c r="C20" s="7" t="inlineStr">
        <is>
          <t>Motor</t>
        </is>
      </c>
      <c r="D20" s="40" t="n">
        <v>45366</v>
      </c>
      <c r="E20" s="11" t="n">
        <v>502000</v>
      </c>
      <c r="F20" s="11" t="n">
        <v>218330</v>
      </c>
    </row>
    <row r="21">
      <c r="A21" s="15" t="inlineStr">
        <is>
          <t>ADM-HLT-PEW-2024-2016</t>
        </is>
      </c>
      <c r="B21" s="15" t="inlineStr">
        <is>
          <t>Peshawar</t>
        </is>
      </c>
      <c r="C21" s="15" t="inlineStr">
        <is>
          <t>Health</t>
        </is>
      </c>
      <c r="D21" s="41" t="n">
        <v>45404</v>
      </c>
      <c r="E21" s="14" t="n">
        <v>1011100</v>
      </c>
      <c r="F21" s="14" t="n">
        <v>1308447</v>
      </c>
    </row>
    <row r="22">
      <c r="A22" s="7" t="inlineStr">
        <is>
          <t>ADM-MSC-QTA-2024-2017</t>
        </is>
      </c>
      <c r="B22" s="7" t="inlineStr">
        <is>
          <t>Quetta</t>
        </is>
      </c>
      <c r="C22" s="7" t="inlineStr">
        <is>
          <t>Miscellaneous</t>
        </is>
      </c>
      <c r="D22" s="40" t="n">
        <v>45413</v>
      </c>
      <c r="E22" s="11" t="n">
        <v>240800</v>
      </c>
      <c r="F22" s="11" t="n">
        <v>175880</v>
      </c>
    </row>
    <row r="23">
      <c r="A23" s="15" t="inlineStr">
        <is>
          <t>ADM-MAR-HYD-2024-2018</t>
        </is>
      </c>
      <c r="B23" s="15" t="inlineStr">
        <is>
          <t>Hyderabad</t>
        </is>
      </c>
      <c r="C23" s="15" t="inlineStr">
        <is>
          <t>Marine Cargo</t>
        </is>
      </c>
      <c r="D23" s="41" t="n">
        <v>45451</v>
      </c>
      <c r="E23" s="14" t="n">
        <v>191900</v>
      </c>
      <c r="F23" s="14" t="n">
        <v>307821</v>
      </c>
    </row>
    <row r="24">
      <c r="A24" s="7" t="inlineStr">
        <is>
          <t>ADM-ENG-SKT-2024-2019</t>
        </is>
      </c>
      <c r="B24" s="7" t="inlineStr">
        <is>
          <t>Sialkot</t>
        </is>
      </c>
      <c r="C24" s="7" t="inlineStr">
        <is>
          <t>Engineering</t>
        </is>
      </c>
      <c r="D24" s="40" t="n">
        <v>45488</v>
      </c>
      <c r="E24" s="11" t="n">
        <v>576800</v>
      </c>
      <c r="F24" s="11" t="n">
        <v>942646</v>
      </c>
    </row>
    <row r="25">
      <c r="A25" s="15" t="inlineStr">
        <is>
          <t>ADM-FIR-RWP-2024-2020</t>
        </is>
      </c>
      <c r="B25" s="15" t="inlineStr">
        <is>
          <t>Rawalpindi</t>
        </is>
      </c>
      <c r="C25" s="15" t="inlineStr">
        <is>
          <t>Fire &amp; Property</t>
        </is>
      </c>
      <c r="D25" s="41" t="n">
        <v>45526</v>
      </c>
      <c r="E25" s="14" t="n">
        <v>36800</v>
      </c>
      <c r="F25" s="14" t="n">
        <v>46076</v>
      </c>
    </row>
    <row r="27">
      <c r="A27" s="9" t="inlineStr">
        <is>
          <t>Table B — Sample of the CSV export (note the quirks the system produces)</t>
        </is>
      </c>
    </row>
    <row r="28" ht="30" customHeight="1">
      <c r="A28" s="10" t="inlineStr">
        <is>
          <t>POLICY_NO</t>
        </is>
      </c>
      <c r="B28" s="10" t="inlineStr">
        <is>
          <t>BRANCH_CD</t>
        </is>
      </c>
      <c r="C28" s="10" t="inlineStr">
        <is>
          <t>PROD_CD</t>
        </is>
      </c>
      <c r="D28" s="10" t="inlineStr">
        <is>
          <t>BOOK_DT</t>
        </is>
      </c>
      <c r="E28" s="10" t="inlineStr">
        <is>
          <t>GWP_PKR</t>
        </is>
      </c>
      <c r="F28" s="10" t="inlineStr">
        <is>
          <t>CLM_PKR</t>
        </is>
      </c>
    </row>
    <row r="29">
      <c r="A29" s="7" t="inlineStr">
        <is>
          <t>ADM-MTR-KHI-2024-2001</t>
        </is>
      </c>
      <c r="B29" s="7" t="inlineStr">
        <is>
          <t>KHI</t>
        </is>
      </c>
      <c r="C29" s="7" t="inlineStr">
        <is>
          <t>MTR</t>
        </is>
      </c>
      <c r="D29" s="7" t="inlineStr">
        <is>
          <t>01/03/2024</t>
        </is>
      </c>
      <c r="E29" s="7" t="inlineStr">
        <is>
          <t xml:space="preserve">  985000 </t>
        </is>
      </c>
      <c r="F29" s="7" t="inlineStr">
        <is>
          <t>341000</t>
        </is>
      </c>
    </row>
    <row r="30">
      <c r="A30" s="15" t="inlineStr">
        <is>
          <t>ADM-FIR-LHR-2024-2002</t>
        </is>
      </c>
      <c r="B30" s="15" t="inlineStr">
        <is>
          <t>LHR</t>
        </is>
      </c>
      <c r="C30" s="15" t="inlineStr">
        <is>
          <t>FIR</t>
        </is>
      </c>
      <c r="D30" s="15" t="inlineStr">
        <is>
          <t>02/03/2024</t>
        </is>
      </c>
      <c r="E30" s="15" t="inlineStr">
        <is>
          <t xml:space="preserve">  1210000 </t>
        </is>
      </c>
      <c r="F30" s="15" t="inlineStr">
        <is>
          <t>0</t>
        </is>
      </c>
    </row>
    <row r="31">
      <c r="A31" s="7" t="inlineStr">
        <is>
          <t>ADM-MAR-KHI-2024-2003</t>
        </is>
      </c>
      <c r="B31" s="7" t="inlineStr">
        <is>
          <t>KHI</t>
        </is>
      </c>
      <c r="C31" s="7" t="inlineStr">
        <is>
          <t>MAR</t>
        </is>
      </c>
      <c r="D31" s="7" t="inlineStr">
        <is>
          <t>03/03/2024</t>
        </is>
      </c>
      <c r="E31" s="7" t="inlineStr">
        <is>
          <t xml:space="preserve">  1640000 </t>
        </is>
      </c>
      <c r="F31" s="7" t="inlineStr">
        <is>
          <t>208000</t>
        </is>
      </c>
    </row>
    <row r="32">
      <c r="A32" s="15" t="inlineStr">
        <is>
          <t>ADM-HLT-ISB-2024-2004</t>
        </is>
      </c>
      <c r="B32" s="15" t="inlineStr">
        <is>
          <t>ISB</t>
        </is>
      </c>
      <c r="C32" s="15" t="inlineStr">
        <is>
          <t>HLT</t>
        </is>
      </c>
      <c r="D32" s="15" t="inlineStr">
        <is>
          <t>04/03/2024</t>
        </is>
      </c>
      <c r="E32" s="15" t="inlineStr">
        <is>
          <t xml:space="preserve">  205000 </t>
        </is>
      </c>
      <c r="F32" s="15" t="inlineStr">
        <is>
          <t>76000</t>
        </is>
      </c>
    </row>
    <row r="33">
      <c r="A33" s="7" t="inlineStr">
        <is>
          <t>ADM-ENG-FSD-2024-2005</t>
        </is>
      </c>
      <c r="B33" s="7" t="inlineStr">
        <is>
          <t>FSD</t>
        </is>
      </c>
      <c r="C33" s="7" t="inlineStr">
        <is>
          <t>ENG</t>
        </is>
      </c>
      <c r="D33" s="7" t="inlineStr">
        <is>
          <t>05/03/2024</t>
        </is>
      </c>
      <c r="E33" s="7" t="inlineStr">
        <is>
          <t xml:space="preserve">  720000 </t>
        </is>
      </c>
      <c r="F33" s="7" t="inlineStr">
        <is>
          <t>512000</t>
        </is>
      </c>
    </row>
    <row r="34">
      <c r="A34" s="15" t="inlineStr">
        <is>
          <t>ADM-MTR-MUL-2024-2006</t>
        </is>
      </c>
      <c r="B34" s="15" t="inlineStr">
        <is>
          <t>MUL</t>
        </is>
      </c>
      <c r="C34" s="15" t="inlineStr">
        <is>
          <t>MTR</t>
        </is>
      </c>
      <c r="D34" s="15" t="inlineStr">
        <is>
          <t>06/03/2024</t>
        </is>
      </c>
      <c r="E34" s="15" t="inlineStr">
        <is>
          <t xml:space="preserve">  46800 </t>
        </is>
      </c>
      <c r="F34" s="15" t="inlineStr">
        <is>
          <t>0</t>
        </is>
      </c>
    </row>
    <row r="36">
      <c r="A36" s="9" t="inlineStr">
        <is>
          <t>Table C — Folder import scenario</t>
        </is>
      </c>
    </row>
    <row r="37" ht="30" customHeight="1">
      <c r="A37" s="10" t="inlineStr">
        <is>
          <t>File in folder</t>
        </is>
      </c>
      <c r="B37" s="10" t="inlineStr">
        <is>
          <t>Branch</t>
        </is>
      </c>
      <c r="C37" s="10" t="inlineStr">
        <is>
          <t>Month</t>
        </is>
      </c>
      <c r="D37" s="10" t="inlineStr">
        <is>
          <t>Rows</t>
        </is>
      </c>
    </row>
    <row r="38">
      <c r="A38" s="7" t="inlineStr">
        <is>
          <t>ADM_KHI_Sep2024.xlsx</t>
        </is>
      </c>
      <c r="B38" s="7" t="inlineStr">
        <is>
          <t>Karachi Main</t>
        </is>
      </c>
      <c r="C38" s="7" t="inlineStr">
        <is>
          <t>Sep-2024</t>
        </is>
      </c>
      <c r="D38" s="11" t="n">
        <v>412</v>
      </c>
    </row>
    <row r="39">
      <c r="A39" s="15" t="inlineStr">
        <is>
          <t>ADM_LHR_Sep2024.xlsx</t>
        </is>
      </c>
      <c r="B39" s="15" t="inlineStr">
        <is>
          <t>Lahore Gulberg</t>
        </is>
      </c>
      <c r="C39" s="15" t="inlineStr">
        <is>
          <t>Sep-2024</t>
        </is>
      </c>
      <c r="D39" s="14" t="n">
        <v>288</v>
      </c>
    </row>
    <row r="40">
      <c r="A40" s="7" t="inlineStr">
        <is>
          <t>ADM_ISB_Sep2024.xlsx</t>
        </is>
      </c>
      <c r="B40" s="7" t="inlineStr">
        <is>
          <t>Islamabad Blue Area</t>
        </is>
      </c>
      <c r="C40" s="7" t="inlineStr">
        <is>
          <t>Sep-2024</t>
        </is>
      </c>
      <c r="D40" s="11" t="n">
        <v>163</v>
      </c>
    </row>
    <row r="41">
      <c r="A41" s="15" t="inlineStr">
        <is>
          <t>ADM_FSD_Sep2024.xlsx</t>
        </is>
      </c>
      <c r="B41" s="15" t="inlineStr">
        <is>
          <t>Faisalabad</t>
        </is>
      </c>
      <c r="C41" s="15" t="inlineStr">
        <is>
          <t>Sep-2024</t>
        </is>
      </c>
      <c r="D41" s="14" t="n">
        <v>121</v>
      </c>
    </row>
    <row r="42">
      <c r="A42" s="7" t="inlineStr">
        <is>
          <t>ADM_MUL_Sep2024.xlsx</t>
        </is>
      </c>
      <c r="B42" s="7" t="inlineStr">
        <is>
          <t>Multan</t>
        </is>
      </c>
      <c r="C42" s="7" t="inlineStr">
        <is>
          <t>Sep-2024</t>
        </is>
      </c>
      <c r="D42" s="11" t="n">
        <v>96</v>
      </c>
    </row>
    <row r="44">
      <c r="A44"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8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Three import routes for the same monthly data</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Branch premium registers arrive three ways: an Excel workbook from Head Office, a CSV export from the policy administration system, and a shared folder where each branch drops one file a month. All three are currently opened, copied and pasted into a master, which takes most of a day at month end.</t>
        </is>
      </c>
    </row>
    <row r="9">
      <c r="A9" s="25" t="inlineStr">
        <is>
          <t>Source data: '3.8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Three import routes for the same monthly data</t>
        </is>
      </c>
      <c r="C13" s="38" t="inlineStr">
        <is>
          <t>Three working queries, one per route, each loading a clean table: From Workbook, From Text/CSV, and From Folder. Record the row count each returns.</t>
        </is>
      </c>
      <c r="D13" s="37" t="inlineStr">
        <is>
          <t>Head of MIS</t>
        </is>
      </c>
      <c r="E13" s="31" t="n"/>
    </row>
    <row r="14" ht="52" customHeight="1">
      <c r="A14" s="35" t="n">
        <v>2</v>
      </c>
      <c r="B14" s="36" t="inlineStr">
        <is>
          <t>CSV date and amount defect</t>
        </is>
      </c>
      <c r="C14" s="38" t="inlineStr">
        <is>
          <t>The CSV query with dates converted correctly using locale and amounts trimmed and converted to whole numbers, plus a note showing what the date became before and after the fix.</t>
        </is>
      </c>
      <c r="D14" s="37" t="inlineStr">
        <is>
          <t>Finance Manager — Technical Accounts</t>
        </is>
      </c>
      <c r="E14" s="31" t="n"/>
    </row>
    <row r="15" ht="65" customHeight="1">
      <c r="A15" s="35" t="n">
        <v>3</v>
      </c>
      <c r="B15" s="36" t="inlineStr">
        <is>
          <t>Folder consolidation that survives a new branch</t>
        </is>
      </c>
      <c r="C15" s="38" t="inlineStr">
        <is>
          <t>A folder query combining all files, with a Branch column extracted from the file name, and evidence that dropping a sixth file into the folder and refreshing brings it in with no edit to the query.</t>
        </is>
      </c>
      <c r="D15" s="37" t="inlineStr">
        <is>
          <t>Head of MIS</t>
        </is>
      </c>
      <c r="E15" s="31" t="n"/>
    </row>
    <row r="16" ht="39" customHeight="1">
      <c r="A16" s="35" t="n">
        <v>4</v>
      </c>
      <c r="B16" s="36" t="inlineStr">
        <is>
          <t>Explanation of the helper queries for the handover</t>
        </is>
      </c>
      <c r="C16" s="38" t="inlineStr">
        <is>
          <t>A short explanation of each helper query the Combine Files button created and what would break if any were deleted.</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82.xml><?xml version="1.0" encoding="utf-8"?>
<worksheet xmlns="http://schemas.openxmlformats.org/spreadsheetml/2006/main">
  <sheetPr>
    <tabColor rgb="001F3864"/>
    <outlinePr summaryBelow="1" summaryRight="1"/>
    <pageSetUpPr/>
  </sheetPr>
  <dimension ref="A1:G26"/>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14" customWidth="1" min="3" max="3"/>
    <col width="14" customWidth="1" min="4" max="4"/>
    <col width="12" customWidth="1" min="5" max="5"/>
    <col width="10" customWidth="1" min="6" max="6"/>
    <col width="34" customWidth="1" min="7" max="7"/>
  </cols>
  <sheetData>
    <row r="1" ht="26" customHeight="1">
      <c r="A1" s="1" t="inlineStr">
        <is>
          <t>Dataset 3.9  —  Transforming Data (Split Columns, Merge Columns, Replace Values, Change Data Types)</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Raw extract from the legacy system (load this into Power Query)</t>
        </is>
      </c>
    </row>
    <row r="5" ht="30" customHeight="1">
      <c r="A5" s="10" t="inlineStr">
        <is>
          <t>RECORD</t>
        </is>
      </c>
      <c r="B5" s="10" t="inlineStr">
        <is>
          <t>BR_PR</t>
        </is>
      </c>
      <c r="C5" s="10" t="inlineStr">
        <is>
          <t>BOOK_DT</t>
        </is>
      </c>
      <c r="D5" s="10" t="inlineStr">
        <is>
          <t>GWP</t>
        </is>
      </c>
      <c r="E5" s="10" t="inlineStr">
        <is>
          <t>CLAIMS</t>
        </is>
      </c>
      <c r="F5" s="10" t="inlineStr">
        <is>
          <t>STATUS</t>
        </is>
      </c>
      <c r="G5" s="10" t="inlineStr">
        <is>
          <t>CLIENT</t>
        </is>
      </c>
    </row>
    <row r="6">
      <c r="A6" s="7" t="inlineStr">
        <is>
          <t>ADM-MTR-KHI-2024-2001|Motor Fleet Cover</t>
        </is>
      </c>
      <c r="B6" s="7" t="inlineStr">
        <is>
          <t>KHI|MTR</t>
        </is>
      </c>
      <c r="C6" s="7" t="inlineStr">
        <is>
          <t>15/01/2024</t>
        </is>
      </c>
      <c r="D6" s="7" t="inlineStr">
        <is>
          <t>985,000</t>
        </is>
      </c>
      <c r="E6" s="7" t="inlineStr">
        <is>
          <t>341,000</t>
        </is>
      </c>
      <c r="F6" s="7" t="inlineStr">
        <is>
          <t>ACT</t>
        </is>
      </c>
      <c r="G6" s="7" t="inlineStr">
        <is>
          <t>gul ahmed textile mills ltd</t>
        </is>
      </c>
    </row>
    <row r="7">
      <c r="A7" s="15" t="inlineStr">
        <is>
          <t>ADM-FIR-LHR-2024-2002|Fire and Allied Perils</t>
        </is>
      </c>
      <c r="B7" s="15" t="inlineStr">
        <is>
          <t>LHR|FIR</t>
        </is>
      </c>
      <c r="C7" s="15" t="inlineStr">
        <is>
          <t>01/02/2024</t>
        </is>
      </c>
      <c r="D7" s="15" t="inlineStr">
        <is>
          <t>1,210,000</t>
        </is>
      </c>
      <c r="E7" s="15" t="inlineStr">
        <is>
          <t>NULL</t>
        </is>
      </c>
      <c r="F7" s="15" t="inlineStr">
        <is>
          <t>ACT</t>
        </is>
      </c>
      <c r="G7" s="15" t="inlineStr">
        <is>
          <t>NISHAT MILLS LIMITED</t>
        </is>
      </c>
    </row>
    <row r="8">
      <c r="A8" s="7" t="inlineStr">
        <is>
          <t>ADM-MAR-KHI-2024-2003|Marine Cargo Open</t>
        </is>
      </c>
      <c r="B8" s="7" t="inlineStr">
        <is>
          <t>KHI|MAR</t>
        </is>
      </c>
      <c r="C8" s="7" t="inlineStr">
        <is>
          <t>18/02/2024</t>
        </is>
      </c>
      <c r="D8" s="7" t="inlineStr">
        <is>
          <t>1,640,000</t>
        </is>
      </c>
      <c r="E8" s="7" t="inlineStr">
        <is>
          <t>208,000</t>
        </is>
      </c>
      <c r="F8" s="7" t="inlineStr">
        <is>
          <t>REN</t>
        </is>
      </c>
      <c r="G8" s="7" t="inlineStr">
        <is>
          <t>lucky cement limited</t>
        </is>
      </c>
    </row>
    <row r="9">
      <c r="A9" s="15" t="inlineStr">
        <is>
          <t>ADM-HLT-ISB-2024-2004|Health Individual</t>
        </is>
      </c>
      <c r="B9" s="15" t="inlineStr">
        <is>
          <t>ISB|HLT</t>
        </is>
      </c>
      <c r="C9" s="15" t="inlineStr">
        <is>
          <t>04/03/2024</t>
        </is>
      </c>
      <c r="D9" s="15" t="inlineStr">
        <is>
          <t>205,000</t>
        </is>
      </c>
      <c r="E9" s="15" t="inlineStr">
        <is>
          <t>76,000</t>
        </is>
      </c>
      <c r="F9" s="15" t="inlineStr">
        <is>
          <t>ACT</t>
        </is>
      </c>
      <c r="G9" s="15" t="inlineStr">
        <is>
          <t>Bilal Ahmed Khan</t>
        </is>
      </c>
    </row>
    <row r="10">
      <c r="A10" s="7" t="inlineStr">
        <is>
          <t>ADM-ENG-FSD-2024-2005|Contractors All Risk</t>
        </is>
      </c>
      <c r="B10" s="7" t="inlineStr">
        <is>
          <t>FSD|ENG</t>
        </is>
      </c>
      <c r="C10" s="7" t="inlineStr">
        <is>
          <t>21/03/2024</t>
        </is>
      </c>
      <c r="D10" s="7" t="inlineStr">
        <is>
          <t>720,000</t>
        </is>
      </c>
      <c r="E10" s="7" t="inlineStr">
        <is>
          <t>512,000</t>
        </is>
      </c>
      <c r="F10" s="7" t="inlineStr">
        <is>
          <t>LAP</t>
        </is>
      </c>
      <c r="G10" s="7" t="inlineStr">
        <is>
          <t>INTERLOOP LIMITED</t>
        </is>
      </c>
    </row>
    <row r="11">
      <c r="A11" s="15" t="inlineStr">
        <is>
          <t>ADM-MTR-LHR-2024-2006|Motor Private</t>
        </is>
      </c>
      <c r="B11" s="15" t="inlineStr">
        <is>
          <t>LHR|MTR</t>
        </is>
      </c>
      <c r="C11" s="15" t="inlineStr">
        <is>
          <t>09/04/2024</t>
        </is>
      </c>
      <c r="D11" s="15" t="inlineStr">
        <is>
          <t>46,800</t>
        </is>
      </c>
      <c r="E11" s="15" t="inlineStr">
        <is>
          <t>NULL</t>
        </is>
      </c>
      <c r="F11" s="15" t="inlineStr">
        <is>
          <t>ACT</t>
        </is>
      </c>
      <c r="G11" s="15" t="inlineStr">
        <is>
          <t>fatima siddiqui</t>
        </is>
      </c>
    </row>
    <row r="12">
      <c r="A12" s="7" t="inlineStr">
        <is>
          <t>ADM-TRV-KHI-2024-2007|Travel Schengen</t>
        </is>
      </c>
      <c r="B12" s="7" t="inlineStr">
        <is>
          <t>KHI|TRV</t>
        </is>
      </c>
      <c r="C12" s="7" t="inlineStr">
        <is>
          <t>27/04/2024</t>
        </is>
      </c>
      <c r="D12" s="7" t="inlineStr">
        <is>
          <t>148,000</t>
        </is>
      </c>
      <c r="E12" s="7" t="inlineStr">
        <is>
          <t>NULL</t>
        </is>
      </c>
      <c r="F12" s="7" t="inlineStr">
        <is>
          <t>EXP</t>
        </is>
      </c>
      <c r="G12" s="7" t="inlineStr">
        <is>
          <t>Ahmed Raza Qureshi</t>
        </is>
      </c>
    </row>
    <row r="13">
      <c r="A13" s="15" t="inlineStr">
        <is>
          <t>ADM-MSC-PEW-2024-2008|Workmen Compensation</t>
        </is>
      </c>
      <c r="B13" s="15" t="inlineStr">
        <is>
          <t>PEW|MSC</t>
        </is>
      </c>
      <c r="C13" s="15" t="inlineStr">
        <is>
          <t>12/05/2024</t>
        </is>
      </c>
      <c r="D13" s="15" t="inlineStr">
        <is>
          <t>640,000</t>
        </is>
      </c>
      <c r="E13" s="15" t="inlineStr">
        <is>
          <t>398,000</t>
        </is>
      </c>
      <c r="F13" s="15" t="inlineStr">
        <is>
          <t>ACT</t>
        </is>
      </c>
      <c r="G13" s="15" t="inlineStr">
        <is>
          <t>descon engineering ltd</t>
        </is>
      </c>
    </row>
    <row r="14">
      <c r="A14" s="7" t="inlineStr">
        <is>
          <t>ADM-FIR-MUL-2024-2009|Fire and Allied Perils</t>
        </is>
      </c>
      <c r="B14" s="7" t="inlineStr">
        <is>
          <t>MUL|FIR</t>
        </is>
      </c>
      <c r="C14" s="7" t="inlineStr">
        <is>
          <t>30/05/2024</t>
        </is>
      </c>
      <c r="D14" s="7" t="inlineStr">
        <is>
          <t>2,310,000</t>
        </is>
      </c>
      <c r="E14" s="7" t="inlineStr">
        <is>
          <t>NULL</t>
        </is>
      </c>
      <c r="F14" s="7" t="inlineStr">
        <is>
          <t>ACT</t>
        </is>
      </c>
      <c r="G14" s="7" t="inlineStr">
        <is>
          <t>FAUJI FERTILIZER COMPANY</t>
        </is>
      </c>
    </row>
    <row r="15">
      <c r="A15" s="15" t="inlineStr">
        <is>
          <t>ADM-MTR-HYD-2024-2010|Motor Private</t>
        </is>
      </c>
      <c r="B15" s="15" t="inlineStr">
        <is>
          <t>HYD|MTR</t>
        </is>
      </c>
      <c r="C15" s="15" t="inlineStr">
        <is>
          <t>14/06/2024</t>
        </is>
      </c>
      <c r="D15" s="15" t="inlineStr">
        <is>
          <t>38,500</t>
        </is>
      </c>
      <c r="E15" s="15" t="inlineStr">
        <is>
          <t>12,000</t>
        </is>
      </c>
      <c r="F15" s="15" t="inlineStr">
        <is>
          <t>CAN</t>
        </is>
      </c>
      <c r="G15" s="15" t="inlineStr">
        <is>
          <t>sana javed butt</t>
        </is>
      </c>
    </row>
    <row r="17">
      <c r="A17" s="9" t="inlineStr">
        <is>
          <t>Table B — Code translation required</t>
        </is>
      </c>
    </row>
    <row r="18" ht="30" customHeight="1">
      <c r="A18" s="10" t="inlineStr">
        <is>
          <t>Code</t>
        </is>
      </c>
      <c r="B18" s="10" t="inlineStr">
        <is>
          <t>Meaning</t>
        </is>
      </c>
      <c r="C18" s="10" t="inlineStr">
        <is>
          <t>Column</t>
        </is>
      </c>
    </row>
    <row r="19">
      <c r="A19" s="7" t="inlineStr">
        <is>
          <t>ACT</t>
        </is>
      </c>
      <c r="B19" s="7" t="inlineStr">
        <is>
          <t>Active</t>
        </is>
      </c>
      <c r="C19" s="7" t="inlineStr">
        <is>
          <t>STATUS</t>
        </is>
      </c>
    </row>
    <row r="20">
      <c r="A20" s="15" t="inlineStr">
        <is>
          <t>REN</t>
        </is>
      </c>
      <c r="B20" s="15" t="inlineStr">
        <is>
          <t>Renewed</t>
        </is>
      </c>
      <c r="C20" s="15" t="inlineStr">
        <is>
          <t>STATUS</t>
        </is>
      </c>
    </row>
    <row r="21">
      <c r="A21" s="7" t="inlineStr">
        <is>
          <t>LAP</t>
        </is>
      </c>
      <c r="B21" s="7" t="inlineStr">
        <is>
          <t>Lapsed</t>
        </is>
      </c>
      <c r="C21" s="7" t="inlineStr">
        <is>
          <t>STATUS</t>
        </is>
      </c>
    </row>
    <row r="22">
      <c r="A22" s="15" t="inlineStr">
        <is>
          <t>EXP</t>
        </is>
      </c>
      <c r="B22" s="15" t="inlineStr">
        <is>
          <t>Expired</t>
        </is>
      </c>
      <c r="C22" s="15" t="inlineStr">
        <is>
          <t>STATUS</t>
        </is>
      </c>
    </row>
    <row r="23">
      <c r="A23" s="7" t="inlineStr">
        <is>
          <t>CAN</t>
        </is>
      </c>
      <c r="B23" s="7" t="inlineStr">
        <is>
          <t>Cancelled</t>
        </is>
      </c>
      <c r="C23" s="7" t="inlineStr">
        <is>
          <t>STATUS</t>
        </is>
      </c>
    </row>
    <row r="24">
      <c r="A24" s="15" t="inlineStr">
        <is>
          <t>NULL</t>
        </is>
      </c>
      <c r="B24" s="15" t="inlineStr">
        <is>
          <t>0</t>
        </is>
      </c>
      <c r="C24" s="15" t="inlineStr">
        <is>
          <t>CLAIMS</t>
        </is>
      </c>
    </row>
    <row r="26">
      <c r="A26"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8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Legacy Extract cleaned into a loadable table</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The extract from the decommissioned policy administration system has policy number and description crammed into one field, branch and product as codes in another, amounts stored as text with commas, dates as text, and NULL scattered through the claims column. It arrives in this state every month until the migration completes in March, and it is currently cleaned by hand in about four hours.</t>
        </is>
      </c>
    </row>
    <row r="9">
      <c r="A9" s="25" t="inlineStr">
        <is>
          <t>Source data: '3.9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91" customHeight="1">
      <c r="A13" s="35" t="n">
        <v>1</v>
      </c>
      <c r="B13" s="36" t="inlineStr">
        <is>
          <t>Legacy Extract cleaned into a loadable table</t>
        </is>
      </c>
      <c r="C13" s="38" t="inlineStr">
        <is>
          <t>A cleaned query output: Policy No | Description | Branch Code | Product Code | Booking Date (real date) | GWP (whole number) | Claims (whole number, NULL as zero) | Status (full word) | Client (properly cased). Every transformation recorded as a step so next month's file cleans itself.</t>
        </is>
      </c>
      <c r="D13" s="37" t="inlineStr">
        <is>
          <t>Head of MIS</t>
        </is>
      </c>
      <c r="E13" s="31" t="n"/>
    </row>
    <row r="14" ht="65" customHeight="1">
      <c r="A14" s="35" t="n">
        <v>2</v>
      </c>
      <c r="B14" s="36" t="inlineStr">
        <is>
          <t>Date locale defect report</t>
        </is>
      </c>
      <c r="C14" s="38" t="inlineStr">
        <is>
          <t>A defect report: take one ambiguous date from the extract, show what it becomes with a plain type change and with a locale-aware type change, and state the rupee impact if it went unnoticed on the whole file.</t>
        </is>
      </c>
      <c r="D14" s="37" t="inlineStr">
        <is>
          <t>Finance Manager — Technical Accounts</t>
        </is>
      </c>
      <c r="E14" s="31" t="n"/>
    </row>
    <row r="15" ht="52" customHeight="1">
      <c r="A15" s="35" t="n">
        <v>3</v>
      </c>
      <c r="B15" s="36" t="inlineStr">
        <is>
          <t>Status code translation for the business users</t>
        </is>
      </c>
      <c r="C15" s="38" t="inlineStr">
        <is>
          <t>The status column translated to full words, with a note on whether you used repeated Replace Values steps or a merge with a lookup table, and why.</t>
        </is>
      </c>
      <c r="D15" s="37" t="inlineStr">
        <is>
          <t>Head of Management Reporting</t>
        </is>
      </c>
      <c r="E15" s="31" t="n"/>
    </row>
    <row r="16" ht="52" customHeight="1">
      <c r="A16" s="35" t="n">
        <v>4</v>
      </c>
      <c r="B16" s="36" t="inlineStr">
        <is>
          <t>Step sequence note for the runbook</t>
        </is>
      </c>
      <c r="C16" s="38" t="inlineStr">
        <is>
          <t>A runbook note: rename every step in business language, then reorder one step deliberately, record what breaks and explain why Applied Steps are sequential rather than independent.</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84.xml><?xml version="1.0" encoding="utf-8"?>
<worksheet xmlns="http://schemas.openxmlformats.org/spreadsheetml/2006/main">
  <sheetPr>
    <tabColor rgb="001F3864"/>
    <outlinePr summaryBelow="1" summaryRight="1"/>
    <pageSetUpPr/>
  </sheetPr>
  <dimension ref="A1:O28"/>
  <sheetViews>
    <sheetView showGridLines="0" workbookViewId="0">
      <pane ySplit="5" topLeftCell="A6" activePane="bottomLeft" state="frozen"/>
      <selection pane="bottomLeft" activeCell="A1" sqref="A1"/>
    </sheetView>
  </sheetViews>
  <sheetFormatPr baseColWidth="8" defaultRowHeight="15"/>
  <cols>
    <col width="30" customWidth="1" min="1" max="1"/>
    <col width="12" customWidth="1" min="2" max="2"/>
    <col width="14" customWidth="1" min="3" max="3"/>
    <col width="12" customWidth="1" min="4" max="4"/>
    <col width="18"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26" customHeight="1">
      <c r="A1" s="1" t="inlineStr">
        <is>
          <t>Dataset 3.10  —  Unpivoting Data for Report-Ready Format</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Gross Written Premium by branch, months across the top (the cross-tab to unpivot)</t>
        </is>
      </c>
    </row>
    <row r="5" ht="30" customHeight="1">
      <c r="A5" s="10" t="inlineStr">
        <is>
          <t>Branch</t>
        </is>
      </c>
      <c r="B5" s="10" t="inlineStr">
        <is>
          <t>Region</t>
        </is>
      </c>
      <c r="C5" s="10" t="inlineStr">
        <is>
          <t>Jan-2024</t>
        </is>
      </c>
      <c r="D5" s="10" t="inlineStr">
        <is>
          <t>Feb-2024</t>
        </is>
      </c>
      <c r="E5" s="10" t="inlineStr">
        <is>
          <t>Mar-2024</t>
        </is>
      </c>
      <c r="F5" s="10" t="inlineStr">
        <is>
          <t>Apr-2024</t>
        </is>
      </c>
      <c r="G5" s="10" t="inlineStr">
        <is>
          <t>May-2024</t>
        </is>
      </c>
      <c r="H5" s="10" t="inlineStr">
        <is>
          <t>Jun-2024</t>
        </is>
      </c>
      <c r="I5" s="10" t="inlineStr">
        <is>
          <t>Jul-2024</t>
        </is>
      </c>
      <c r="J5" s="10" t="inlineStr">
        <is>
          <t>Aug-2024</t>
        </is>
      </c>
      <c r="K5" s="10" t="inlineStr">
        <is>
          <t>Sep-2024</t>
        </is>
      </c>
      <c r="L5" s="10" t="inlineStr">
        <is>
          <t>Oct-2024</t>
        </is>
      </c>
      <c r="M5" s="10" t="inlineStr">
        <is>
          <t>Nov-2024</t>
        </is>
      </c>
      <c r="N5" s="10" t="inlineStr">
        <is>
          <t>Dec-2024</t>
        </is>
      </c>
    </row>
    <row r="6">
      <c r="A6" s="7" t="inlineStr">
        <is>
          <t>Karachi Main</t>
        </is>
      </c>
      <c r="B6" s="7" t="inlineStr">
        <is>
          <t>South</t>
        </is>
      </c>
      <c r="C6" s="11" t="n">
        <v>8478000</v>
      </c>
      <c r="D6" s="11" t="n">
        <v>5658000</v>
      </c>
      <c r="E6" s="11" t="n">
        <v>13810000</v>
      </c>
      <c r="F6" s="11" t="n">
        <v>4380000</v>
      </c>
      <c r="G6" s="11" t="n">
        <v>11934000</v>
      </c>
      <c r="H6" s="11" t="n">
        <v>9160000</v>
      </c>
      <c r="I6" s="11" t="n">
        <v>4145000</v>
      </c>
      <c r="J6" s="11" t="n">
        <v>11471000</v>
      </c>
      <c r="K6" s="11" t="n">
        <v>3811000</v>
      </c>
      <c r="L6" s="11" t="n">
        <v>10268000</v>
      </c>
      <c r="M6" s="11" t="n">
        <v>4338000</v>
      </c>
      <c r="N6" s="11" t="n">
        <v>4678000</v>
      </c>
    </row>
    <row r="7">
      <c r="A7" s="15" t="inlineStr">
        <is>
          <t>Lahore Gulberg</t>
        </is>
      </c>
      <c r="B7" s="15" t="inlineStr">
        <is>
          <t>Central</t>
        </is>
      </c>
      <c r="C7" s="14" t="n">
        <v>10119000</v>
      </c>
      <c r="D7" s="14" t="n">
        <v>16677000</v>
      </c>
      <c r="E7" s="14" t="n">
        <v>5217000</v>
      </c>
      <c r="F7" s="14" t="n">
        <v>6838000</v>
      </c>
      <c r="G7" s="14" t="n">
        <v>13427000</v>
      </c>
      <c r="H7" s="14" t="n">
        <v>18647000</v>
      </c>
      <c r="I7" s="14" t="n">
        <v>12606000</v>
      </c>
      <c r="J7" s="14" t="n">
        <v>9665000</v>
      </c>
      <c r="K7" s="14" t="n">
        <v>19112000</v>
      </c>
      <c r="L7" s="14" t="n">
        <v>3959000</v>
      </c>
      <c r="M7" s="14" t="n">
        <v>17193000</v>
      </c>
      <c r="N7" s="14" t="n">
        <v>7920000</v>
      </c>
    </row>
    <row r="8">
      <c r="A8" s="7" t="inlineStr">
        <is>
          <t>Islamabad Blue Area</t>
        </is>
      </c>
      <c r="B8" s="7" t="inlineStr">
        <is>
          <t>North</t>
        </is>
      </c>
      <c r="C8" s="11" t="n">
        <v>5551000</v>
      </c>
      <c r="D8" s="11" t="n">
        <v>5120000</v>
      </c>
      <c r="E8" s="11" t="n">
        <v>8228000</v>
      </c>
      <c r="F8" s="11" t="n">
        <v>16502000</v>
      </c>
      <c r="G8" s="11" t="n">
        <v>6145000</v>
      </c>
      <c r="H8" s="11" t="n">
        <v>12680000</v>
      </c>
      <c r="I8" s="11" t="n">
        <v>13614000</v>
      </c>
      <c r="J8" s="11" t="n">
        <v>9270000</v>
      </c>
      <c r="K8" s="11" t="n">
        <v>12128000</v>
      </c>
      <c r="L8" s="11" t="n">
        <v>4223000</v>
      </c>
      <c r="M8" s="11" t="n">
        <v>4171000</v>
      </c>
      <c r="N8" s="11" t="n">
        <v>6557000</v>
      </c>
    </row>
    <row r="9">
      <c r="A9" s="15" t="inlineStr">
        <is>
          <t>Faisalabad</t>
        </is>
      </c>
      <c r="B9" s="15" t="inlineStr">
        <is>
          <t>Central</t>
        </is>
      </c>
      <c r="C9" s="14" t="n">
        <v>14290000</v>
      </c>
      <c r="D9" s="14" t="n">
        <v>10169000</v>
      </c>
      <c r="E9" s="14" t="n">
        <v>8320000</v>
      </c>
      <c r="F9" s="14" t="n">
        <v>12744000</v>
      </c>
      <c r="G9" s="14" t="n">
        <v>10586000</v>
      </c>
      <c r="H9" s="14" t="n">
        <v>8086000</v>
      </c>
      <c r="I9" s="14" t="n">
        <v>16148000</v>
      </c>
      <c r="J9" s="14" t="n">
        <v>14593000</v>
      </c>
      <c r="K9" s="14" t="n">
        <v>7178000</v>
      </c>
      <c r="L9" s="14" t="n">
        <v>12563000</v>
      </c>
      <c r="M9" s="14" t="n">
        <v>11760000</v>
      </c>
      <c r="N9" s="14" t="n">
        <v>17464000</v>
      </c>
    </row>
    <row r="10">
      <c r="A10" s="7" t="inlineStr">
        <is>
          <t>Multan</t>
        </is>
      </c>
      <c r="B10" s="7" t="inlineStr">
        <is>
          <t>Central</t>
        </is>
      </c>
      <c r="C10" s="11" t="n">
        <v>15089000</v>
      </c>
      <c r="D10" s="11" t="n">
        <v>7893000</v>
      </c>
      <c r="E10" s="11" t="n">
        <v>19176000</v>
      </c>
      <c r="F10" s="11" t="n">
        <v>5124000</v>
      </c>
      <c r="G10" s="11" t="n">
        <v>10015000</v>
      </c>
      <c r="H10" s="11" t="n">
        <v>15541000</v>
      </c>
      <c r="I10" s="11" t="n">
        <v>5677000</v>
      </c>
      <c r="J10" s="11" t="n">
        <v>11170000</v>
      </c>
      <c r="K10" s="11" t="n">
        <v>3839000</v>
      </c>
      <c r="L10" s="11" t="n">
        <v>14091000</v>
      </c>
      <c r="M10" s="11" t="n">
        <v>15662000</v>
      </c>
      <c r="N10" s="11" t="n">
        <v>12540000</v>
      </c>
    </row>
    <row r="11">
      <c r="A11" s="15" t="inlineStr">
        <is>
          <t>Peshawar</t>
        </is>
      </c>
      <c r="B11" s="15" t="inlineStr">
        <is>
          <t>North</t>
        </is>
      </c>
      <c r="C11" s="14" t="n">
        <v>17470000</v>
      </c>
      <c r="D11" s="14" t="n">
        <v>8314000</v>
      </c>
      <c r="E11" s="14" t="n">
        <v>14533000</v>
      </c>
      <c r="F11" s="14" t="n">
        <v>12888000</v>
      </c>
      <c r="G11" s="14" t="n">
        <v>12652000</v>
      </c>
      <c r="H11" s="14" t="n">
        <v>10636000</v>
      </c>
      <c r="I11" s="14" t="n">
        <v>16891000</v>
      </c>
      <c r="J11" s="14" t="n">
        <v>18598000</v>
      </c>
      <c r="K11" s="14" t="n">
        <v>10927000</v>
      </c>
      <c r="L11" s="14" t="n">
        <v>14025000</v>
      </c>
      <c r="M11" s="14" t="n">
        <v>4188000</v>
      </c>
      <c r="N11" s="14" t="n">
        <v>14634000</v>
      </c>
    </row>
    <row r="13">
      <c r="A13" s="9" t="inlineStr">
        <is>
          <t>Table B — Claims paid, same layout, plus a total column that must NOT be unpivoted</t>
        </is>
      </c>
    </row>
    <row r="14" ht="30" customHeight="1">
      <c r="A14" s="10" t="inlineStr">
        <is>
          <t>Branch</t>
        </is>
      </c>
      <c r="B14" s="10" t="inlineStr">
        <is>
          <t>Region</t>
        </is>
      </c>
      <c r="C14" s="10" t="inlineStr">
        <is>
          <t>Jan-2024</t>
        </is>
      </c>
      <c r="D14" s="10" t="inlineStr">
        <is>
          <t>Feb-2024</t>
        </is>
      </c>
      <c r="E14" s="10" t="inlineStr">
        <is>
          <t>Mar-2024</t>
        </is>
      </c>
      <c r="F14" s="10" t="inlineStr">
        <is>
          <t>Apr-2024</t>
        </is>
      </c>
      <c r="G14" s="10" t="inlineStr">
        <is>
          <t>May-2024</t>
        </is>
      </c>
      <c r="H14" s="10" t="inlineStr">
        <is>
          <t>Jun-2024</t>
        </is>
      </c>
      <c r="I14" s="10" t="inlineStr">
        <is>
          <t>Jul-2024</t>
        </is>
      </c>
      <c r="J14" s="10" t="inlineStr">
        <is>
          <t>Aug-2024</t>
        </is>
      </c>
      <c r="K14" s="10" t="inlineStr">
        <is>
          <t>Sep-2024</t>
        </is>
      </c>
      <c r="L14" s="10" t="inlineStr">
        <is>
          <t>Oct-2024</t>
        </is>
      </c>
      <c r="M14" s="10" t="inlineStr">
        <is>
          <t>Nov-2024</t>
        </is>
      </c>
      <c r="N14" s="10" t="inlineStr">
        <is>
          <t>Dec-2024</t>
        </is>
      </c>
      <c r="O14" s="10" t="inlineStr">
        <is>
          <t>Full Year Total</t>
        </is>
      </c>
    </row>
    <row r="15">
      <c r="A15" s="7" t="inlineStr">
        <is>
          <t>Karachi Main</t>
        </is>
      </c>
      <c r="B15" s="7" t="inlineStr">
        <is>
          <t>South</t>
        </is>
      </c>
      <c r="C15" s="11" t="n">
        <v>7738000</v>
      </c>
      <c r="D15" s="11" t="n">
        <v>8827000</v>
      </c>
      <c r="E15" s="11" t="n">
        <v>6156000</v>
      </c>
      <c r="F15" s="11" t="n">
        <v>6066000</v>
      </c>
      <c r="G15" s="11" t="n">
        <v>4874000</v>
      </c>
      <c r="H15" s="11" t="n">
        <v>10967000</v>
      </c>
      <c r="I15" s="11" t="n">
        <v>3822000</v>
      </c>
      <c r="J15" s="11" t="n">
        <v>2397000</v>
      </c>
      <c r="K15" s="11" t="n">
        <v>3536000</v>
      </c>
      <c r="L15" s="11" t="n">
        <v>3530000</v>
      </c>
      <c r="M15" s="11" t="n">
        <v>4206000</v>
      </c>
      <c r="N15" s="11" t="n">
        <v>3605000</v>
      </c>
      <c r="O15" s="11" t="n">
        <v>65724000</v>
      </c>
    </row>
    <row r="16">
      <c r="A16" s="15" t="inlineStr">
        <is>
          <t>Lahore Gulberg</t>
        </is>
      </c>
      <c r="B16" s="15" t="inlineStr">
        <is>
          <t>Central</t>
        </is>
      </c>
      <c r="C16" s="14" t="n">
        <v>1987000</v>
      </c>
      <c r="D16" s="14" t="n">
        <v>4187000</v>
      </c>
      <c r="E16" s="14" t="n">
        <v>4041000</v>
      </c>
      <c r="F16" s="14" t="n">
        <v>6649000</v>
      </c>
      <c r="G16" s="14" t="n">
        <v>2936000</v>
      </c>
      <c r="H16" s="14" t="n">
        <v>1614000</v>
      </c>
      <c r="I16" s="14" t="n">
        <v>2945000</v>
      </c>
      <c r="J16" s="14" t="n">
        <v>6378000</v>
      </c>
      <c r="K16" s="14" t="n">
        <v>4824000</v>
      </c>
      <c r="L16" s="14" t="n">
        <v>8308000</v>
      </c>
      <c r="M16" s="14" t="n">
        <v>9010000</v>
      </c>
      <c r="N16" s="14" t="n">
        <v>5085000</v>
      </c>
      <c r="O16" s="14" t="n">
        <v>57964000</v>
      </c>
    </row>
    <row r="17">
      <c r="A17" s="7" t="inlineStr">
        <is>
          <t>Islamabad Blue Area</t>
        </is>
      </c>
      <c r="B17" s="7" t="inlineStr">
        <is>
          <t>North</t>
        </is>
      </c>
      <c r="C17" s="11" t="n">
        <v>1903000</v>
      </c>
      <c r="D17" s="11" t="n">
        <v>8252000</v>
      </c>
      <c r="E17" s="11" t="n">
        <v>8532000</v>
      </c>
      <c r="F17" s="11" t="n">
        <v>4900000</v>
      </c>
      <c r="G17" s="11" t="n">
        <v>7548000</v>
      </c>
      <c r="H17" s="11" t="n">
        <v>3920000</v>
      </c>
      <c r="I17" s="11" t="n">
        <v>10140000</v>
      </c>
      <c r="J17" s="11" t="n">
        <v>9321000</v>
      </c>
      <c r="K17" s="11" t="n">
        <v>8898000</v>
      </c>
      <c r="L17" s="11" t="n">
        <v>10534000</v>
      </c>
      <c r="M17" s="11" t="n">
        <v>3251000</v>
      </c>
      <c r="N17" s="11" t="n">
        <v>6407000</v>
      </c>
      <c r="O17" s="11" t="n">
        <v>83606000</v>
      </c>
    </row>
    <row r="18">
      <c r="A18" s="15" t="inlineStr">
        <is>
          <t>Faisalabad</t>
        </is>
      </c>
      <c r="B18" s="15" t="inlineStr">
        <is>
          <t>Central</t>
        </is>
      </c>
      <c r="C18" s="14" t="n">
        <v>8286000</v>
      </c>
      <c r="D18" s="14" t="n">
        <v>8994000</v>
      </c>
      <c r="E18" s="14" t="n">
        <v>4841000</v>
      </c>
      <c r="F18" s="14" t="n">
        <v>2299000</v>
      </c>
      <c r="G18" s="14" t="n">
        <v>7225000</v>
      </c>
      <c r="H18" s="14" t="n">
        <v>1956000</v>
      </c>
      <c r="I18" s="14" t="n">
        <v>8024000</v>
      </c>
      <c r="J18" s="14" t="n">
        <v>970000</v>
      </c>
      <c r="K18" s="14" t="n">
        <v>5490000</v>
      </c>
      <c r="L18" s="14" t="n">
        <v>5745000</v>
      </c>
      <c r="M18" s="14" t="n">
        <v>2109000</v>
      </c>
      <c r="N18" s="14" t="n">
        <v>5749000</v>
      </c>
      <c r="O18" s="14" t="n">
        <v>61688000</v>
      </c>
    </row>
    <row r="19">
      <c r="A19" s="7" t="inlineStr">
        <is>
          <t>Multan</t>
        </is>
      </c>
      <c r="B19" s="7" t="inlineStr">
        <is>
          <t>Central</t>
        </is>
      </c>
      <c r="C19" s="11" t="n">
        <v>5950000</v>
      </c>
      <c r="D19" s="11" t="n">
        <v>4627000</v>
      </c>
      <c r="E19" s="11" t="n">
        <v>9952000</v>
      </c>
      <c r="F19" s="11" t="n">
        <v>9647000</v>
      </c>
      <c r="G19" s="11" t="n">
        <v>9894000</v>
      </c>
      <c r="H19" s="11" t="n">
        <v>3373000</v>
      </c>
      <c r="I19" s="11" t="n">
        <v>1161000</v>
      </c>
      <c r="J19" s="11" t="n">
        <v>4703000</v>
      </c>
      <c r="K19" s="11" t="n">
        <v>2047000</v>
      </c>
      <c r="L19" s="11" t="n">
        <v>8022000</v>
      </c>
      <c r="M19" s="11" t="n">
        <v>3555000</v>
      </c>
      <c r="N19" s="11" t="n">
        <v>2196000</v>
      </c>
      <c r="O19" s="11" t="n">
        <v>65127000</v>
      </c>
    </row>
    <row r="20">
      <c r="A20" s="15" t="inlineStr">
        <is>
          <t>Peshawar</t>
        </is>
      </c>
      <c r="B20" s="15" t="inlineStr">
        <is>
          <t>North</t>
        </is>
      </c>
      <c r="C20" s="14" t="n">
        <v>3765000</v>
      </c>
      <c r="D20" s="14" t="n">
        <v>4974000</v>
      </c>
      <c r="E20" s="14" t="n">
        <v>8327000</v>
      </c>
      <c r="F20" s="14" t="n">
        <v>5556000</v>
      </c>
      <c r="G20" s="14" t="n">
        <v>3941000</v>
      </c>
      <c r="H20" s="14" t="n">
        <v>7741000</v>
      </c>
      <c r="I20" s="14" t="n">
        <v>1357000</v>
      </c>
      <c r="J20" s="14" t="n">
        <v>3012000</v>
      </c>
      <c r="K20" s="14" t="n">
        <v>7843000</v>
      </c>
      <c r="L20" s="14" t="n">
        <v>8495000</v>
      </c>
      <c r="M20" s="14" t="n">
        <v>1923000</v>
      </c>
      <c r="N20" s="14" t="n">
        <v>1571000</v>
      </c>
      <c r="O20" s="14" t="n">
        <v>58505000</v>
      </c>
    </row>
    <row r="22">
      <c r="A22" s="9" t="inlineStr">
        <is>
          <t>Table C — The shape you must produce</t>
        </is>
      </c>
    </row>
    <row r="23" ht="30" customHeight="1">
      <c r="A23" s="10" t="inlineStr">
        <is>
          <t>Branch</t>
        </is>
      </c>
      <c r="B23" s="10" t="inlineStr">
        <is>
          <t>Region</t>
        </is>
      </c>
      <c r="C23" s="10" t="inlineStr">
        <is>
          <t>Month</t>
        </is>
      </c>
      <c r="D23" s="10" t="inlineStr">
        <is>
          <t>Measure</t>
        </is>
      </c>
      <c r="E23" s="10" t="inlineStr">
        <is>
          <t>Amount (PKR)</t>
        </is>
      </c>
    </row>
    <row r="24">
      <c r="A24" s="7" t="inlineStr">
        <is>
          <t>Karachi Main</t>
        </is>
      </c>
      <c r="B24" s="7" t="inlineStr">
        <is>
          <t>South</t>
        </is>
      </c>
      <c r="C24" s="7" t="inlineStr">
        <is>
          <t>Jan-2024</t>
        </is>
      </c>
      <c r="D24" s="7" t="inlineStr">
        <is>
          <t>GWP</t>
        </is>
      </c>
      <c r="E24" s="11" t="n">
        <v>9450000</v>
      </c>
    </row>
    <row r="25">
      <c r="A25" s="15" t="inlineStr">
        <is>
          <t>Karachi Main</t>
        </is>
      </c>
      <c r="B25" s="15" t="inlineStr">
        <is>
          <t>South</t>
        </is>
      </c>
      <c r="C25" s="15" t="inlineStr">
        <is>
          <t>Feb-2024</t>
        </is>
      </c>
      <c r="D25" s="15" t="inlineStr">
        <is>
          <t>GWP</t>
        </is>
      </c>
      <c r="E25" s="14" t="n">
        <v>10120000</v>
      </c>
    </row>
    <row r="26">
      <c r="A26" s="7" t="inlineStr">
        <is>
          <t>(and so on for every branch and month)</t>
        </is>
      </c>
      <c r="B26" s="7" t="inlineStr"/>
      <c r="C26" s="7" t="inlineStr"/>
      <c r="D26" s="7" t="inlineStr"/>
      <c r="E26" s="11" t="n"/>
    </row>
    <row r="28">
      <c r="A28"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8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Cross-tab premium file turned into a transaction table</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Finance sends the premium report with months across the top. It is readable for a human and useless for a pivot, and Finance will not change it. Each month an analyst transposes it by hand, which takes an hour and has introduced a transposition error twice this year.</t>
        </is>
      </c>
    </row>
    <row r="9">
      <c r="A9" s="25" t="inlineStr">
        <is>
          <t>Source data: '3.10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Cross-tab premium file turned into a transaction table</t>
        </is>
      </c>
      <c r="C13" s="38" t="inlineStr">
        <is>
          <t>A transaction table with columns Branch | Region | Month | Amount, produced by unpivoting the cross-tab, with the Attribute and Value columns renamed into business language. Record the row count.</t>
        </is>
      </c>
      <c r="D13" s="37" t="inlineStr">
        <is>
          <t>Head of Management Reporting</t>
        </is>
      </c>
      <c r="E13" s="31" t="n"/>
    </row>
    <row r="14" ht="52" customHeight="1">
      <c r="A14" s="35" t="n">
        <v>2</v>
      </c>
      <c r="B14" s="36" t="inlineStr">
        <is>
          <t>Total column trap in the claims cross-tab</t>
        </is>
      </c>
      <c r="C14" s="38" t="inlineStr">
        <is>
          <t>The claims cross-tab unpivoted correctly, with evidence of what the total is with and without removing the Full Year Total column first, and the correct sequence of steps recorded.</t>
        </is>
      </c>
      <c r="D14" s="37" t="inlineStr">
        <is>
          <t>Head of Internal Audit</t>
        </is>
      </c>
      <c r="E14" s="31" t="n"/>
    </row>
    <row r="15" ht="52" customHeight="1">
      <c r="A15" s="35" t="n">
        <v>3</v>
      </c>
      <c r="B15" s="36" t="inlineStr">
        <is>
          <t>Combined premium and claims table with loss ratio</t>
        </is>
      </c>
      <c r="C15" s="38" t="inlineStr">
        <is>
          <t>A single appended table with a Measure column identifying premium or claims, a real month-start date so it sorts correctly, and a pivot on top showing loss ratio by branch and month.</t>
        </is>
      </c>
      <c r="D15" s="37" t="inlineStr">
        <is>
          <t>Regional Head — Central</t>
        </is>
      </c>
      <c r="E15" s="31" t="n"/>
    </row>
    <row r="16" ht="65" customHeight="1">
      <c r="A16" s="35" t="n">
        <v>4</v>
      </c>
      <c r="B16" s="36" t="inlineStr">
        <is>
          <t>New-month resilience test</t>
        </is>
      </c>
      <c r="C16" s="38" t="inlineStr">
        <is>
          <t>Evidence of the resilience test: add a new month column to the source, refresh, and confirm it appears in the output. State which unpivot command you used and why the other one fails this test.</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86.xml><?xml version="1.0" encoding="utf-8"?>
<worksheet xmlns="http://schemas.openxmlformats.org/spreadsheetml/2006/main">
  <sheetPr>
    <tabColor rgb="001F3864"/>
    <outlinePr summaryBelow="1" summaryRight="1"/>
    <pageSetUpPr/>
  </sheetPr>
  <dimension ref="A1:F59"/>
  <sheetViews>
    <sheetView showGridLines="0" workbookViewId="0">
      <pane ySplit="5" topLeftCell="A6" activePane="bottomLeft" state="frozen"/>
      <selection pane="bottomLeft" activeCell="A1" sqref="A1"/>
    </sheetView>
  </sheetViews>
  <sheetFormatPr baseColWidth="8" defaultRowHeight="15"/>
  <cols>
    <col width="16" customWidth="1" min="1" max="1"/>
    <col width="24" customWidth="1" min="2" max="2"/>
    <col width="20" customWidth="1" min="3" max="3"/>
    <col width="22" customWidth="1" min="4" max="4"/>
    <col width="22" customWidth="1" min="5" max="5"/>
  </cols>
  <sheetData>
    <row r="1" ht="26" customHeight="1">
      <c r="A1" s="1" t="inlineStr">
        <is>
          <t>Dataset 3.11  —  Merging and Appending Queries</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January policy register</t>
        </is>
      </c>
    </row>
    <row r="5" ht="30" customHeight="1">
      <c r="A5" s="10" t="inlineStr">
        <is>
          <t>Policy No</t>
        </is>
      </c>
      <c r="B5" s="10" t="inlineStr">
        <is>
          <t>Branch Code</t>
        </is>
      </c>
      <c r="C5" s="10" t="inlineStr">
        <is>
          <t>Product</t>
        </is>
      </c>
      <c r="D5" s="10" t="inlineStr">
        <is>
          <t>Gross Premium (PKR)</t>
        </is>
      </c>
    </row>
    <row r="6">
      <c r="A6" s="7" t="inlineStr">
        <is>
          <t>ADM-MTR-KHI-2024-2001</t>
        </is>
      </c>
      <c r="B6" s="7" t="inlineStr">
        <is>
          <t>KHI</t>
        </is>
      </c>
      <c r="C6" s="7" t="inlineStr">
        <is>
          <t>Motor</t>
        </is>
      </c>
      <c r="D6" s="11" t="n">
        <v>33200</v>
      </c>
    </row>
    <row r="7">
      <c r="A7" s="15" t="inlineStr">
        <is>
          <t>ADM-HLT-LHR-2024-2002</t>
        </is>
      </c>
      <c r="B7" s="15" t="inlineStr">
        <is>
          <t>LHR</t>
        </is>
      </c>
      <c r="C7" s="15" t="inlineStr">
        <is>
          <t>Health</t>
        </is>
      </c>
      <c r="D7" s="14" t="n">
        <v>15300</v>
      </c>
    </row>
    <row r="8">
      <c r="A8" s="7" t="inlineStr">
        <is>
          <t>ADM-MSC-ISB-2024-2003</t>
        </is>
      </c>
      <c r="B8" s="7" t="inlineStr">
        <is>
          <t>ISB</t>
        </is>
      </c>
      <c r="C8" s="7" t="inlineStr">
        <is>
          <t>Miscellaneous</t>
        </is>
      </c>
      <c r="D8" s="11" t="n">
        <v>206100</v>
      </c>
    </row>
    <row r="9">
      <c r="A9" s="15" t="inlineStr">
        <is>
          <t>ADM-MAR-FSD-2024-2004</t>
        </is>
      </c>
      <c r="B9" s="15" t="inlineStr">
        <is>
          <t>FSD</t>
        </is>
      </c>
      <c r="C9" s="15" t="inlineStr">
        <is>
          <t>Marine Cargo</t>
        </is>
      </c>
      <c r="D9" s="14" t="n">
        <v>1335500</v>
      </c>
    </row>
    <row r="10">
      <c r="A10" s="7" t="inlineStr">
        <is>
          <t>ADM-ENG-MUL-2024-2005</t>
        </is>
      </c>
      <c r="B10" s="7" t="inlineStr">
        <is>
          <t>MUL</t>
        </is>
      </c>
      <c r="C10" s="7" t="inlineStr">
        <is>
          <t>Engineering</t>
        </is>
      </c>
      <c r="D10" s="11" t="n">
        <v>14500</v>
      </c>
    </row>
    <row r="11">
      <c r="A11" s="15" t="inlineStr">
        <is>
          <t>ADM-FIR-PEW-2024-2006</t>
        </is>
      </c>
      <c r="B11" s="15" t="inlineStr">
        <is>
          <t>PEW</t>
        </is>
      </c>
      <c r="C11" s="15" t="inlineStr">
        <is>
          <t>Fire &amp; Property</t>
        </is>
      </c>
      <c r="D11" s="14" t="n">
        <v>1519000</v>
      </c>
    </row>
    <row r="12">
      <c r="A12" s="7" t="inlineStr">
        <is>
          <t>ADM-TRV-QTA-2024-2007</t>
        </is>
      </c>
      <c r="B12" s="7" t="inlineStr">
        <is>
          <t>QTA</t>
        </is>
      </c>
      <c r="C12" s="7" t="inlineStr">
        <is>
          <t>Travel</t>
        </is>
      </c>
      <c r="D12" s="11" t="n">
        <v>23900</v>
      </c>
    </row>
    <row r="13">
      <c r="A13" s="15" t="inlineStr">
        <is>
          <t>ADM-MTR-HYD-2024-2008</t>
        </is>
      </c>
      <c r="B13" s="15" t="inlineStr">
        <is>
          <t>HYD</t>
        </is>
      </c>
      <c r="C13" s="15" t="inlineStr">
        <is>
          <t>Motor</t>
        </is>
      </c>
      <c r="D13" s="14" t="n">
        <v>204900</v>
      </c>
    </row>
    <row r="15">
      <c r="A15" s="9" t="inlineStr">
        <is>
          <t>Table B — February policy register (same columns, different order)</t>
        </is>
      </c>
    </row>
    <row r="16" ht="30" customHeight="1">
      <c r="A16" s="10" t="inlineStr">
        <is>
          <t>Branch Code</t>
        </is>
      </c>
      <c r="B16" s="10" t="inlineStr">
        <is>
          <t>Policy No</t>
        </is>
      </c>
      <c r="C16" s="10" t="inlineStr">
        <is>
          <t>Gross Premium (PKR)</t>
        </is>
      </c>
      <c r="D16" s="10" t="inlineStr">
        <is>
          <t>Product</t>
        </is>
      </c>
    </row>
    <row r="17">
      <c r="A17" s="7" t="inlineStr">
        <is>
          <t>SKT</t>
        </is>
      </c>
      <c r="B17" s="7" t="inlineStr">
        <is>
          <t>ADM-HLT-SKT-2024-2009</t>
        </is>
      </c>
      <c r="C17" s="11" t="n">
        <v>145900</v>
      </c>
      <c r="D17" s="7" t="inlineStr">
        <is>
          <t>Health</t>
        </is>
      </c>
    </row>
    <row r="18">
      <c r="A18" s="15" t="inlineStr">
        <is>
          <t>RWP</t>
        </is>
      </c>
      <c r="B18" s="15" t="inlineStr">
        <is>
          <t>ADM-MSC-RWP-2024-2010</t>
        </is>
      </c>
      <c r="C18" s="14" t="n">
        <v>20000</v>
      </c>
      <c r="D18" s="15" t="inlineStr">
        <is>
          <t>Miscellaneous</t>
        </is>
      </c>
    </row>
    <row r="19">
      <c r="A19" s="7" t="inlineStr">
        <is>
          <t>KHI</t>
        </is>
      </c>
      <c r="B19" s="7" t="inlineStr">
        <is>
          <t>ADM-MAR-KHI-2024-2011</t>
        </is>
      </c>
      <c r="C19" s="11" t="n">
        <v>716000</v>
      </c>
      <c r="D19" s="7" t="inlineStr">
        <is>
          <t>Marine Cargo</t>
        </is>
      </c>
    </row>
    <row r="20">
      <c r="A20" s="15" t="inlineStr">
        <is>
          <t>LHR</t>
        </is>
      </c>
      <c r="B20" s="15" t="inlineStr">
        <is>
          <t>ADM-ENG-LHR-2024-2012</t>
        </is>
      </c>
      <c r="C20" s="14" t="n">
        <v>722600</v>
      </c>
      <c r="D20" s="15" t="inlineStr">
        <is>
          <t>Engineering</t>
        </is>
      </c>
    </row>
    <row r="21">
      <c r="A21" s="7" t="inlineStr">
        <is>
          <t>ISB</t>
        </is>
      </c>
      <c r="B21" s="7" t="inlineStr">
        <is>
          <t>ADM-FIR-ISB-2024-2013</t>
        </is>
      </c>
      <c r="C21" s="11" t="n">
        <v>472900</v>
      </c>
      <c r="D21" s="7" t="inlineStr">
        <is>
          <t>Fire &amp; Property</t>
        </is>
      </c>
    </row>
    <row r="22">
      <c r="A22" s="15" t="inlineStr">
        <is>
          <t>FSD</t>
        </is>
      </c>
      <c r="B22" s="15" t="inlineStr">
        <is>
          <t>ADM-TRV-FSD-2024-2014</t>
        </is>
      </c>
      <c r="C22" s="14" t="n">
        <v>66300</v>
      </c>
      <c r="D22" s="15" t="inlineStr">
        <is>
          <t>Travel</t>
        </is>
      </c>
    </row>
    <row r="23">
      <c r="A23" s="7" t="inlineStr">
        <is>
          <t>MUL</t>
        </is>
      </c>
      <c r="B23" s="7" t="inlineStr">
        <is>
          <t>ADM-MTR-MUL-2024-2015</t>
        </is>
      </c>
      <c r="C23" s="11" t="n">
        <v>502000</v>
      </c>
      <c r="D23" s="7" t="inlineStr">
        <is>
          <t>Motor</t>
        </is>
      </c>
    </row>
    <row r="24">
      <c r="A24" s="15" t="inlineStr">
        <is>
          <t>PEW</t>
        </is>
      </c>
      <c r="B24" s="15" t="inlineStr">
        <is>
          <t>ADM-HLT-PEW-2024-2016</t>
        </is>
      </c>
      <c r="C24" s="14" t="n">
        <v>1011100</v>
      </c>
      <c r="D24" s="15" t="inlineStr">
        <is>
          <t>Health</t>
        </is>
      </c>
    </row>
    <row r="26">
      <c r="A26" s="9" t="inlineStr">
        <is>
          <t>Table C — March policy register (has one EXTRA column)</t>
        </is>
      </c>
    </row>
    <row r="27" ht="30" customHeight="1">
      <c r="A27" s="10" t="inlineStr">
        <is>
          <t>Policy No</t>
        </is>
      </c>
      <c r="B27" s="10" t="inlineStr">
        <is>
          <t>Branch Code</t>
        </is>
      </c>
      <c r="C27" s="10" t="inlineStr">
        <is>
          <t>Product</t>
        </is>
      </c>
      <c r="D27" s="10" t="inlineStr">
        <is>
          <t>Gross Premium (PKR)</t>
        </is>
      </c>
      <c r="E27" s="10" t="inlineStr">
        <is>
          <t>Sales Channel</t>
        </is>
      </c>
    </row>
    <row r="28">
      <c r="A28" s="7" t="inlineStr">
        <is>
          <t>ADM-MSC-QTA-2024-2017</t>
        </is>
      </c>
      <c r="B28" s="7" t="inlineStr">
        <is>
          <t>QTA</t>
        </is>
      </c>
      <c r="C28" s="7" t="inlineStr">
        <is>
          <t>Miscellaneous</t>
        </is>
      </c>
      <c r="D28" s="11" t="n">
        <v>240800</v>
      </c>
      <c r="E28" s="7" t="inlineStr">
        <is>
          <t>Direct</t>
        </is>
      </c>
    </row>
    <row r="29">
      <c r="A29" s="15" t="inlineStr">
        <is>
          <t>ADM-MAR-HYD-2024-2018</t>
        </is>
      </c>
      <c r="B29" s="15" t="inlineStr">
        <is>
          <t>HYD</t>
        </is>
      </c>
      <c r="C29" s="15" t="inlineStr">
        <is>
          <t>Marine Cargo</t>
        </is>
      </c>
      <c r="D29" s="14" t="n">
        <v>191900</v>
      </c>
      <c r="E29" s="15" t="inlineStr">
        <is>
          <t>Agency</t>
        </is>
      </c>
    </row>
    <row r="30">
      <c r="A30" s="7" t="inlineStr">
        <is>
          <t>ADM-ENG-SKT-2024-2019</t>
        </is>
      </c>
      <c r="B30" s="7" t="inlineStr">
        <is>
          <t>SKT</t>
        </is>
      </c>
      <c r="C30" s="7" t="inlineStr">
        <is>
          <t>Engineering</t>
        </is>
      </c>
      <c r="D30" s="11" t="n">
        <v>576800</v>
      </c>
      <c r="E30" s="7" t="inlineStr">
        <is>
          <t>Bancassurance</t>
        </is>
      </c>
    </row>
    <row r="31">
      <c r="A31" s="15" t="inlineStr">
        <is>
          <t>ADM-FIR-RWP-2024-2020</t>
        </is>
      </c>
      <c r="B31" s="15" t="inlineStr">
        <is>
          <t>RWP</t>
        </is>
      </c>
      <c r="C31" s="15" t="inlineStr">
        <is>
          <t>Fire &amp; Property</t>
        </is>
      </c>
      <c r="D31" s="14" t="n">
        <v>36800</v>
      </c>
      <c r="E31" s="15" t="inlineStr">
        <is>
          <t>Corporate</t>
        </is>
      </c>
    </row>
    <row r="32">
      <c r="A32" s="7" t="inlineStr">
        <is>
          <t>ADM-TRV-KHI-2024-2021</t>
        </is>
      </c>
      <c r="B32" s="7" t="inlineStr">
        <is>
          <t>KHI</t>
        </is>
      </c>
      <c r="C32" s="7" t="inlineStr">
        <is>
          <t>Travel</t>
        </is>
      </c>
      <c r="D32" s="11" t="n">
        <v>161800</v>
      </c>
      <c r="E32" s="7" t="inlineStr">
        <is>
          <t>Direct</t>
        </is>
      </c>
    </row>
    <row r="33">
      <c r="A33" s="15" t="inlineStr">
        <is>
          <t>ADM-MTR-LHR-2024-2022</t>
        </is>
      </c>
      <c r="B33" s="15" t="inlineStr">
        <is>
          <t>LHR</t>
        </is>
      </c>
      <c r="C33" s="15" t="inlineStr">
        <is>
          <t>Motor</t>
        </is>
      </c>
      <c r="D33" s="14" t="n">
        <v>1055500</v>
      </c>
      <c r="E33" s="15" t="inlineStr">
        <is>
          <t>Agency</t>
        </is>
      </c>
    </row>
    <row r="34">
      <c r="A34" s="7" t="inlineStr">
        <is>
          <t>ADM-HLT-ISB-2024-2023</t>
        </is>
      </c>
      <c r="B34" s="7" t="inlineStr">
        <is>
          <t>ISB</t>
        </is>
      </c>
      <c r="C34" s="7" t="inlineStr">
        <is>
          <t>Health</t>
        </is>
      </c>
      <c r="D34" s="11" t="n">
        <v>6400</v>
      </c>
      <c r="E34" s="7" t="inlineStr">
        <is>
          <t>Bancassurance</t>
        </is>
      </c>
    </row>
    <row r="35">
      <c r="A35" s="15" t="inlineStr">
        <is>
          <t>ADM-MSC-FSD-2024-2024</t>
        </is>
      </c>
      <c r="B35" s="15" t="inlineStr">
        <is>
          <t>FSD</t>
        </is>
      </c>
      <c r="C35" s="15" t="inlineStr">
        <is>
          <t>Miscellaneous</t>
        </is>
      </c>
      <c r="D35" s="14" t="n">
        <v>33200</v>
      </c>
      <c r="E35" s="15" t="inlineStr">
        <is>
          <t>Corporate</t>
        </is>
      </c>
    </row>
    <row r="37">
      <c r="A37" s="9" t="inlineStr">
        <is>
          <t>Table D — Branch master (for merging)</t>
        </is>
      </c>
    </row>
    <row r="38" ht="30" customHeight="1">
      <c r="A38" s="10" t="inlineStr">
        <is>
          <t>Branch Code</t>
        </is>
      </c>
      <c r="B38" s="10" t="inlineStr">
        <is>
          <t>Branch Name</t>
        </is>
      </c>
      <c r="C38" s="10" t="inlineStr">
        <is>
          <t>Region</t>
        </is>
      </c>
      <c r="D38" s="10" t="inlineStr">
        <is>
          <t>Branch Manager</t>
        </is>
      </c>
      <c r="E38" s="10" t="inlineStr">
        <is>
          <t>Annual Target (PKR)</t>
        </is>
      </c>
    </row>
    <row r="39">
      <c r="A39" s="7" t="inlineStr">
        <is>
          <t>KHI</t>
        </is>
      </c>
      <c r="B39" s="7" t="inlineStr">
        <is>
          <t>Karachi Main</t>
        </is>
      </c>
      <c r="C39" s="7" t="inlineStr">
        <is>
          <t>South</t>
        </is>
      </c>
      <c r="D39" s="7" t="inlineStr">
        <is>
          <t>Tariq Jameel</t>
        </is>
      </c>
      <c r="E39" s="11" t="n">
        <v>80000000</v>
      </c>
    </row>
    <row r="40">
      <c r="A40" s="15" t="inlineStr">
        <is>
          <t>LHR</t>
        </is>
      </c>
      <c r="B40" s="15" t="inlineStr">
        <is>
          <t>Lahore Gulberg</t>
        </is>
      </c>
      <c r="C40" s="15" t="inlineStr">
        <is>
          <t>Central</t>
        </is>
      </c>
      <c r="D40" s="15" t="inlineStr">
        <is>
          <t>Nadia Hassan</t>
        </is>
      </c>
      <c r="E40" s="14" t="n">
        <v>74000000</v>
      </c>
    </row>
    <row r="41">
      <c r="A41" s="7" t="inlineStr">
        <is>
          <t>ISB</t>
        </is>
      </c>
      <c r="B41" s="7" t="inlineStr">
        <is>
          <t>Islamabad Blue Area</t>
        </is>
      </c>
      <c r="C41" s="7" t="inlineStr">
        <is>
          <t>North</t>
        </is>
      </c>
      <c r="D41" s="7" t="inlineStr">
        <is>
          <t>Salman Shah</t>
        </is>
      </c>
      <c r="E41" s="11" t="n">
        <v>68000000</v>
      </c>
    </row>
    <row r="42">
      <c r="A42" s="15" t="inlineStr">
        <is>
          <t>FSD</t>
        </is>
      </c>
      <c r="B42" s="15" t="inlineStr">
        <is>
          <t>Faisalabad</t>
        </is>
      </c>
      <c r="C42" s="15" t="inlineStr">
        <is>
          <t>Central</t>
        </is>
      </c>
      <c r="D42" s="15" t="inlineStr">
        <is>
          <t>Komal Bashir</t>
        </is>
      </c>
      <c r="E42" s="14" t="n">
        <v>62000000</v>
      </c>
    </row>
    <row r="43">
      <c r="A43" s="7" t="inlineStr">
        <is>
          <t>MUL</t>
        </is>
      </c>
      <c r="B43" s="7" t="inlineStr">
        <is>
          <t>Multan</t>
        </is>
      </c>
      <c r="C43" s="7" t="inlineStr">
        <is>
          <t>Central</t>
        </is>
      </c>
      <c r="D43" s="7" t="inlineStr">
        <is>
          <t>Waqar Younis Khan</t>
        </is>
      </c>
      <c r="E43" s="11" t="n">
        <v>56000000</v>
      </c>
    </row>
    <row r="44">
      <c r="A44" s="15" t="inlineStr">
        <is>
          <t>PEW</t>
        </is>
      </c>
      <c r="B44" s="15" t="inlineStr">
        <is>
          <t>Peshawar</t>
        </is>
      </c>
      <c r="C44" s="15" t="inlineStr">
        <is>
          <t>North</t>
        </is>
      </c>
      <c r="D44" s="15" t="inlineStr">
        <is>
          <t>Amna Zubair</t>
        </is>
      </c>
      <c r="E44" s="14" t="n">
        <v>50000000</v>
      </c>
    </row>
    <row r="45">
      <c r="A45" s="7" t="inlineStr">
        <is>
          <t>QTA</t>
        </is>
      </c>
      <c r="B45" s="7" t="inlineStr">
        <is>
          <t>Quetta</t>
        </is>
      </c>
      <c r="C45" s="7" t="inlineStr">
        <is>
          <t>South</t>
        </is>
      </c>
      <c r="D45" s="7" t="inlineStr">
        <is>
          <t>Rizwan Ali Soomro</t>
        </is>
      </c>
      <c r="E45" s="11" t="n">
        <v>44000000</v>
      </c>
    </row>
    <row r="46">
      <c r="A46" s="15" t="inlineStr">
        <is>
          <t>HYD</t>
        </is>
      </c>
      <c r="B46" s="15" t="inlineStr">
        <is>
          <t>Hyderabad</t>
        </is>
      </c>
      <c r="C46" s="15" t="inlineStr">
        <is>
          <t>South</t>
        </is>
      </c>
      <c r="D46" s="15" t="inlineStr">
        <is>
          <t>Farhan Dar</t>
        </is>
      </c>
      <c r="E46" s="14" t="n">
        <v>38000000</v>
      </c>
    </row>
    <row r="47">
      <c r="A47" s="7" t="inlineStr">
        <is>
          <t>SKT</t>
        </is>
      </c>
      <c r="B47" s="7" t="inlineStr">
        <is>
          <t>Sialkot</t>
        </is>
      </c>
      <c r="C47" s="7" t="inlineStr">
        <is>
          <t>Central</t>
        </is>
      </c>
      <c r="D47" s="7" t="inlineStr">
        <is>
          <t>Sobia Naz</t>
        </is>
      </c>
      <c r="E47" s="11" t="n">
        <v>32000000</v>
      </c>
    </row>
    <row r="48">
      <c r="A48" s="15" t="inlineStr">
        <is>
          <t>RWP</t>
        </is>
      </c>
      <c r="B48" s="15" t="inlineStr">
        <is>
          <t>Rawalpindi</t>
        </is>
      </c>
      <c r="C48" s="15" t="inlineStr">
        <is>
          <t>North</t>
        </is>
      </c>
      <c r="D48" s="15" t="inlineStr">
        <is>
          <t>Junaid Akram</t>
        </is>
      </c>
      <c r="E48" s="14" t="n">
        <v>26000000</v>
      </c>
    </row>
    <row r="50">
      <c r="A50" s="9" t="inlineStr">
        <is>
          <t>Table E — Claims file (contains policies not present in Tables A to C)</t>
        </is>
      </c>
    </row>
    <row r="51" ht="30" customHeight="1">
      <c r="A51" s="10" t="inlineStr">
        <is>
          <t>Claim No</t>
        </is>
      </c>
      <c r="B51" s="10" t="inlineStr">
        <is>
          <t>Policy No</t>
        </is>
      </c>
      <c r="C51" s="10" t="inlineStr">
        <is>
          <t>Paid Amount (PKR)</t>
        </is>
      </c>
    </row>
    <row r="52">
      <c r="A52" s="7" t="inlineStr">
        <is>
          <t>CLM-2024-9001</t>
        </is>
      </c>
      <c r="B52" s="7" t="inlineStr">
        <is>
          <t>ADM-MSC-ISB-2024-2003</t>
        </is>
      </c>
      <c r="C52" s="11" t="n">
        <v>341000</v>
      </c>
    </row>
    <row r="53">
      <c r="A53" s="15" t="inlineStr">
        <is>
          <t>CLM-2024-9002</t>
        </is>
      </c>
      <c r="B53" s="15" t="inlineStr">
        <is>
          <t>ADM-ENG-LHR-2024-2012</t>
        </is>
      </c>
      <c r="C53" s="14" t="n">
        <v>208000</v>
      </c>
    </row>
    <row r="54">
      <c r="A54" s="7" t="inlineStr">
        <is>
          <t>CLM-2024-9003</t>
        </is>
      </c>
      <c r="B54" s="7" t="inlineStr">
        <is>
          <t>ADM-MTR-KHI-2023-1777</t>
        </is>
      </c>
      <c r="C54" s="11" t="n">
        <v>92000</v>
      </c>
    </row>
    <row r="55">
      <c r="A55" s="15" t="inlineStr">
        <is>
          <t>CLM-2024-9004</t>
        </is>
      </c>
      <c r="B55" s="15" t="inlineStr">
        <is>
          <t>ADM-FIR-RWP-2024-2020</t>
        </is>
      </c>
      <c r="C55" s="14" t="n">
        <v>512000</v>
      </c>
    </row>
    <row r="56">
      <c r="A56" s="7" t="inlineStr">
        <is>
          <t>CLM-2024-9005</t>
        </is>
      </c>
      <c r="B56" s="7" t="inlineStr">
        <is>
          <t>ADM-FIR-LHR-2023-1802</t>
        </is>
      </c>
      <c r="C56" s="11" t="n">
        <v>1115000</v>
      </c>
    </row>
    <row r="57">
      <c r="A57" s="15" t="inlineStr">
        <is>
          <t>CLM-2024-9006</t>
        </is>
      </c>
      <c r="B57" s="15" t="inlineStr">
        <is>
          <t>ADM-FIR-PEW-2024-2006</t>
        </is>
      </c>
      <c r="C57" s="14" t="n">
        <v>76000</v>
      </c>
    </row>
    <row r="59">
      <c r="A5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87.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Quarterly register from three monthly branch files</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January, February and March registers arrive as three files. February's columns are in a different order because a branch rebuilt its template, and March carries an extra Sales Channel column. The current process pastes them under one another, which silently mis-aligned February's premium into the product column.</t>
        </is>
      </c>
    </row>
    <row r="9">
      <c r="A9" s="25" t="inlineStr">
        <is>
          <t>Source data: '3.11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Quarterly register from three monthly branch files</t>
        </is>
      </c>
      <c r="C13" s="38" t="inlineStr">
        <is>
          <t>One appended query covering all three months, with a note on how Power Query handled February's column order and what appears in the Sales Channel column for January and February rows.</t>
        </is>
      </c>
      <c r="D13" s="37" t="inlineStr">
        <is>
          <t>Head of Management Reporting</t>
        </is>
      </c>
      <c r="E13" s="31" t="n"/>
    </row>
    <row r="14" ht="52" customHeight="1">
      <c r="A14" s="35" t="n">
        <v>2</v>
      </c>
      <c r="B14" s="36" t="inlineStr">
        <is>
          <t>Register enriched with branch master data</t>
        </is>
      </c>
      <c r="C14" s="38" t="inlineStr">
        <is>
          <t>The appended register merged with the branch master, expanding Branch Name, Region and Manager, plus an achievement-against-target summary by branch.</t>
        </is>
      </c>
      <c r="D14" s="37" t="inlineStr">
        <is>
          <t>Regional Head — Central</t>
        </is>
      </c>
      <c r="E14" s="31" t="n"/>
    </row>
    <row r="15" ht="65" customHeight="1">
      <c r="A15" s="35" t="n">
        <v>3</v>
      </c>
      <c r="B15" s="36" t="inlineStr">
        <is>
          <t>Orphan Claims Reconciliation</t>
        </is>
      </c>
      <c r="C15" s="38" t="inlineStr">
        <is>
          <t>An exception report listing every claim with no matching policy in the register, with claim number, policy number, paid amount and a total exposure figure, produced with a Left Anti join.</t>
        </is>
      </c>
      <c r="D15" s="37" t="inlineStr">
        <is>
          <t>Head of Internal Audit</t>
        </is>
      </c>
      <c r="E15" s="31" t="n"/>
    </row>
    <row r="16" ht="52" customHeight="1">
      <c r="A16" s="35" t="n">
        <v>4</v>
      </c>
      <c r="B16" s="36" t="inlineStr">
        <is>
          <t>Join-type note for the reporting standard</t>
        </is>
      </c>
      <c r="C16" s="38" t="inlineStr">
        <is>
          <t>A reference note explaining Left Outer, Inner and Left Anti joins in insurance terms, and one worked example of a two-column merge on branch code and product together.</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88.xml><?xml version="1.0" encoding="utf-8"?>
<worksheet xmlns="http://schemas.openxmlformats.org/spreadsheetml/2006/main">
  <sheetPr>
    <tabColor rgb="001F3864"/>
    <outlinePr summaryBelow="1" summaryRight="1"/>
    <pageSetUpPr/>
  </sheetPr>
  <dimension ref="A1:M135"/>
  <sheetViews>
    <sheetView showGridLines="0" workbookViewId="0">
      <pane ySplit="5" topLeftCell="A6" activePane="bottomLeft" state="frozen"/>
      <selection pane="bottomLeft" activeCell="A1" sqref="A1"/>
    </sheetView>
  </sheetViews>
  <sheetFormatPr baseColWidth="8" defaultRowHeight="15"/>
  <cols>
    <col width="22" customWidth="1" min="1" max="1"/>
    <col width="34" customWidth="1" min="2" max="2"/>
    <col width="26" customWidth="1" min="3" max="3"/>
    <col width="30" customWidth="1" min="4" max="4"/>
    <col width="17" customWidth="1" min="5" max="5"/>
    <col width="16" customWidth="1" min="6" max="6"/>
    <col width="20" customWidth="1" min="7" max="7"/>
    <col width="13" customWidth="1" min="8" max="8"/>
    <col width="19" customWidth="1" min="9" max="9"/>
    <col width="20" customWidth="1" min="10" max="10"/>
    <col width="19" customWidth="1" min="11" max="11"/>
    <col width="13" customWidth="1" min="12" max="12"/>
    <col width="14" customWidth="1" min="13" max="13"/>
  </cols>
  <sheetData>
    <row r="1" ht="26" customHeight="1">
      <c r="A1" s="1" t="inlineStr">
        <is>
          <t>Dataset 3.12  —  Loading Results to Worksheet or Pivot Table</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Policy transaction register 2024 (120 rows — the pivot source)</t>
        </is>
      </c>
    </row>
    <row r="5" ht="30" customHeight="1">
      <c r="A5" s="10" t="inlineStr">
        <is>
          <t>Policy No</t>
        </is>
      </c>
      <c r="B5" s="10" t="inlineStr">
        <is>
          <t>Booking Date</t>
        </is>
      </c>
      <c r="C5" s="10" t="inlineStr">
        <is>
          <t>Branch</t>
        </is>
      </c>
      <c r="D5" s="10" t="inlineStr">
        <is>
          <t>Region</t>
        </is>
      </c>
      <c r="E5" s="10" t="inlineStr">
        <is>
          <t>Product</t>
        </is>
      </c>
      <c r="F5" s="10" t="inlineStr">
        <is>
          <t>Channel</t>
        </is>
      </c>
      <c r="G5" s="10" t="inlineStr">
        <is>
          <t>Agent Name</t>
        </is>
      </c>
      <c r="H5" s="10" t="inlineStr">
        <is>
          <t>Client Type</t>
        </is>
      </c>
      <c r="I5" s="10" t="inlineStr">
        <is>
          <t>Sum Insured (PKR)</t>
        </is>
      </c>
      <c r="J5" s="10" t="inlineStr">
        <is>
          <t>Gross Premium (PKR)</t>
        </is>
      </c>
      <c r="K5" s="10" t="inlineStr">
        <is>
          <t>Claims Paid (PKR)</t>
        </is>
      </c>
      <c r="L5" s="10" t="inlineStr">
        <is>
          <t>Policy Count</t>
        </is>
      </c>
      <c r="M5" s="10" t="inlineStr">
        <is>
          <t>Policy Status</t>
        </is>
      </c>
    </row>
    <row r="6">
      <c r="A6" s="7" t="inlineStr">
        <is>
          <t>ADM-MTR-KHI-2024-2001</t>
        </is>
      </c>
      <c r="B6" s="40" t="n">
        <v>45292</v>
      </c>
      <c r="C6" s="7" t="inlineStr">
        <is>
          <t>Karachi Main</t>
        </is>
      </c>
      <c r="D6" s="7" t="inlineStr">
        <is>
          <t>South</t>
        </is>
      </c>
      <c r="E6" s="7" t="inlineStr">
        <is>
          <t>Motor</t>
        </is>
      </c>
      <c r="F6" s="7" t="inlineStr">
        <is>
          <t>Direct</t>
        </is>
      </c>
      <c r="G6" s="7" t="inlineStr">
        <is>
          <t>Tariq Jameel</t>
        </is>
      </c>
      <c r="H6" s="7" t="inlineStr">
        <is>
          <t>Individual</t>
        </is>
      </c>
      <c r="I6" s="11" t="n">
        <v>3400000</v>
      </c>
      <c r="J6" s="11" t="n">
        <v>33200</v>
      </c>
      <c r="K6" s="11" t="n">
        <v>52907</v>
      </c>
      <c r="L6" s="11" t="n">
        <v>1</v>
      </c>
      <c r="M6" s="7" t="inlineStr">
        <is>
          <t>Active</t>
        </is>
      </c>
    </row>
    <row r="7">
      <c r="A7" s="15" t="inlineStr">
        <is>
          <t>ADM-HLT-LHR-2024-2002</t>
        </is>
      </c>
      <c r="B7" s="41" t="n">
        <v>45330</v>
      </c>
      <c r="C7" s="15" t="inlineStr">
        <is>
          <t>Lahore Gulberg</t>
        </is>
      </c>
      <c r="D7" s="15" t="inlineStr">
        <is>
          <t>Central</t>
        </is>
      </c>
      <c r="E7" s="15" t="inlineStr">
        <is>
          <t>Health</t>
        </is>
      </c>
      <c r="F7" s="15" t="inlineStr">
        <is>
          <t>Agency</t>
        </is>
      </c>
      <c r="G7" s="15" t="inlineStr">
        <is>
          <t>Nadia Hassan</t>
        </is>
      </c>
      <c r="H7" s="15" t="inlineStr">
        <is>
          <t>Corporate</t>
        </is>
      </c>
      <c r="I7" s="14" t="n">
        <v>1200000</v>
      </c>
      <c r="J7" s="14" t="n">
        <v>15300</v>
      </c>
      <c r="K7" s="14" t="n">
        <v>3207</v>
      </c>
      <c r="L7" s="14" t="n">
        <v>1</v>
      </c>
      <c r="M7" s="15" t="inlineStr">
        <is>
          <t>Active</t>
        </is>
      </c>
    </row>
    <row r="8">
      <c r="A8" s="7" t="inlineStr">
        <is>
          <t>ADM-MSC-ISB-2024-2003</t>
        </is>
      </c>
      <c r="B8" s="40" t="n">
        <v>45366</v>
      </c>
      <c r="C8" s="7" t="inlineStr">
        <is>
          <t>Islamabad Blue Area</t>
        </is>
      </c>
      <c r="D8" s="7" t="inlineStr">
        <is>
          <t>North</t>
        </is>
      </c>
      <c r="E8" s="7" t="inlineStr">
        <is>
          <t>Miscellaneous</t>
        </is>
      </c>
      <c r="F8" s="7" t="inlineStr">
        <is>
          <t>Bancassurance</t>
        </is>
      </c>
      <c r="G8" s="7" t="inlineStr">
        <is>
          <t>Salman Shah</t>
        </is>
      </c>
      <c r="H8" s="7" t="inlineStr">
        <is>
          <t>Corporate</t>
        </is>
      </c>
      <c r="I8" s="11" t="n">
        <v>11500000</v>
      </c>
      <c r="J8" s="11" t="n">
        <v>206100</v>
      </c>
      <c r="K8" s="11" t="n">
        <v>260673</v>
      </c>
      <c r="L8" s="11" t="n">
        <v>1</v>
      </c>
      <c r="M8" s="7" t="inlineStr">
        <is>
          <t>Renewed</t>
        </is>
      </c>
    </row>
    <row r="9">
      <c r="A9" s="15" t="inlineStr">
        <is>
          <t>ADM-MAR-FSD-2024-2004</t>
        </is>
      </c>
      <c r="B9" s="41" t="n">
        <v>45404</v>
      </c>
      <c r="C9" s="15" t="inlineStr">
        <is>
          <t>Faisalabad</t>
        </is>
      </c>
      <c r="D9" s="15" t="inlineStr">
        <is>
          <t>Central</t>
        </is>
      </c>
      <c r="E9" s="15" t="inlineStr">
        <is>
          <t>Marine Cargo</t>
        </is>
      </c>
      <c r="F9" s="15" t="inlineStr">
        <is>
          <t>Corporate</t>
        </is>
      </c>
      <c r="G9" s="15" t="inlineStr">
        <is>
          <t>Komal Bashir</t>
        </is>
      </c>
      <c r="H9" s="15" t="inlineStr">
        <is>
          <t>Individual</t>
        </is>
      </c>
      <c r="I9" s="14" t="n">
        <v>47000000</v>
      </c>
      <c r="J9" s="14" t="n">
        <v>1335500</v>
      </c>
      <c r="K9" s="14" t="n">
        <v>125902</v>
      </c>
      <c r="L9" s="14" t="n">
        <v>1</v>
      </c>
      <c r="M9" s="15" t="inlineStr">
        <is>
          <t>Lapsed</t>
        </is>
      </c>
    </row>
    <row r="10">
      <c r="A10" s="7" t="inlineStr">
        <is>
          <t>ADM-ENG-MUL-2024-2005</t>
        </is>
      </c>
      <c r="B10" s="40" t="n">
        <v>45413</v>
      </c>
      <c r="C10" s="7" t="inlineStr">
        <is>
          <t>Multan</t>
        </is>
      </c>
      <c r="D10" s="7" t="inlineStr">
        <is>
          <t>Central</t>
        </is>
      </c>
      <c r="E10" s="7" t="inlineStr">
        <is>
          <t>Engineering</t>
        </is>
      </c>
      <c r="F10" s="7" t="inlineStr">
        <is>
          <t>Direct</t>
        </is>
      </c>
      <c r="G10" s="7" t="inlineStr">
        <is>
          <t>Waqar Younis Khan</t>
        </is>
      </c>
      <c r="H10" s="7" t="inlineStr">
        <is>
          <t>Corporate</t>
        </is>
      </c>
      <c r="I10" s="11" t="n">
        <v>1200000</v>
      </c>
      <c r="J10" s="11" t="n">
        <v>14500</v>
      </c>
      <c r="K10" s="11" t="n">
        <v>20595</v>
      </c>
      <c r="L10" s="11" t="n">
        <v>1</v>
      </c>
      <c r="M10" s="7" t="inlineStr">
        <is>
          <t>Cancelled</t>
        </is>
      </c>
    </row>
    <row r="11">
      <c r="A11" s="15" t="inlineStr">
        <is>
          <t>ADM-FIR-PEW-2024-2006</t>
        </is>
      </c>
      <c r="B11" s="41" t="n">
        <v>45451</v>
      </c>
      <c r="C11" s="15" t="inlineStr">
        <is>
          <t>Peshawar</t>
        </is>
      </c>
      <c r="D11" s="15" t="inlineStr">
        <is>
          <t>North</t>
        </is>
      </c>
      <c r="E11" s="15" t="inlineStr">
        <is>
          <t>Fire &amp; Property</t>
        </is>
      </c>
      <c r="F11" s="15" t="inlineStr">
        <is>
          <t>Agency</t>
        </is>
      </c>
      <c r="G11" s="15" t="inlineStr">
        <is>
          <t>Amna Zubair</t>
        </is>
      </c>
      <c r="H11" s="15" t="inlineStr">
        <is>
          <t>Corporate</t>
        </is>
      </c>
      <c r="I11" s="14" t="n">
        <v>72000000</v>
      </c>
      <c r="J11" s="14" t="n">
        <v>1519000</v>
      </c>
      <c r="K11" s="14" t="n">
        <v>2506397</v>
      </c>
      <c r="L11" s="14" t="n">
        <v>1</v>
      </c>
      <c r="M11" s="15" t="inlineStr">
        <is>
          <t>Active</t>
        </is>
      </c>
    </row>
    <row r="12">
      <c r="A12" s="7" t="inlineStr">
        <is>
          <t>ADM-TRV-QTA-2024-2007</t>
        </is>
      </c>
      <c r="B12" s="40" t="n">
        <v>45488</v>
      </c>
      <c r="C12" s="7" t="inlineStr">
        <is>
          <t>Quetta</t>
        </is>
      </c>
      <c r="D12" s="7" t="inlineStr">
        <is>
          <t>South</t>
        </is>
      </c>
      <c r="E12" s="7" t="inlineStr">
        <is>
          <t>Travel</t>
        </is>
      </c>
      <c r="F12" s="7" t="inlineStr">
        <is>
          <t>Bancassurance</t>
        </is>
      </c>
      <c r="G12" s="7" t="inlineStr">
        <is>
          <t>Rizwan Ali Soomro</t>
        </is>
      </c>
      <c r="H12" s="7" t="inlineStr">
        <is>
          <t>Individual</t>
        </is>
      </c>
      <c r="I12" s="11" t="n">
        <v>1200000</v>
      </c>
      <c r="J12" s="11" t="n">
        <v>23900</v>
      </c>
      <c r="K12" s="11" t="n">
        <v>3819</v>
      </c>
      <c r="L12" s="11" t="n">
        <v>1</v>
      </c>
      <c r="M12" s="7" t="inlineStr">
        <is>
          <t>Active</t>
        </is>
      </c>
    </row>
    <row r="13">
      <c r="A13" s="15" t="inlineStr">
        <is>
          <t>ADM-MTR-HYD-2024-2008</t>
        </is>
      </c>
      <c r="B13" s="41" t="n">
        <v>45526</v>
      </c>
      <c r="C13" s="15" t="inlineStr">
        <is>
          <t>Hyderabad</t>
        </is>
      </c>
      <c r="D13" s="15" t="inlineStr">
        <is>
          <t>South</t>
        </is>
      </c>
      <c r="E13" s="15" t="inlineStr">
        <is>
          <t>Motor</t>
        </is>
      </c>
      <c r="F13" s="15" t="inlineStr">
        <is>
          <t>Corporate</t>
        </is>
      </c>
      <c r="G13" s="15" t="inlineStr">
        <is>
          <t>Farhan Dar</t>
        </is>
      </c>
      <c r="H13" s="15" t="inlineStr">
        <is>
          <t>Corporate</t>
        </is>
      </c>
      <c r="I13" s="14" t="n">
        <v>11500000</v>
      </c>
      <c r="J13" s="14" t="n">
        <v>204900</v>
      </c>
      <c r="K13" s="14" t="n">
        <v>293808</v>
      </c>
      <c r="L13" s="14" t="n">
        <v>1</v>
      </c>
      <c r="M13" s="15" t="inlineStr">
        <is>
          <t>Renewed</t>
        </is>
      </c>
    </row>
    <row r="14">
      <c r="A14" s="7" t="inlineStr">
        <is>
          <t>ADM-HLT-SKT-2024-2009</t>
        </is>
      </c>
      <c r="B14" s="40" t="n">
        <v>45536</v>
      </c>
      <c r="C14" s="7" t="inlineStr">
        <is>
          <t>Sialkot</t>
        </is>
      </c>
      <c r="D14" s="7" t="inlineStr">
        <is>
          <t>Central</t>
        </is>
      </c>
      <c r="E14" s="7" t="inlineStr">
        <is>
          <t>Health</t>
        </is>
      </c>
      <c r="F14" s="7" t="inlineStr">
        <is>
          <t>Direct</t>
        </is>
      </c>
      <c r="G14" s="7" t="inlineStr">
        <is>
          <t>Sobia Naz</t>
        </is>
      </c>
      <c r="H14" s="7" t="inlineStr">
        <is>
          <t>Corporate</t>
        </is>
      </c>
      <c r="I14" s="11" t="n">
        <v>6800000</v>
      </c>
      <c r="J14" s="11" t="n">
        <v>145900</v>
      </c>
      <c r="K14" s="11" t="n">
        <v>101845</v>
      </c>
      <c r="L14" s="11" t="n">
        <v>1</v>
      </c>
      <c r="M14" s="7" t="inlineStr">
        <is>
          <t>Lapsed</t>
        </is>
      </c>
    </row>
    <row r="15">
      <c r="A15" s="15" t="inlineStr">
        <is>
          <t>ADM-MSC-RWP-2024-2010</t>
        </is>
      </c>
      <c r="B15" s="41" t="n">
        <v>45573</v>
      </c>
      <c r="C15" s="15" t="inlineStr">
        <is>
          <t>Rawalpindi</t>
        </is>
      </c>
      <c r="D15" s="15" t="inlineStr">
        <is>
          <t>North</t>
        </is>
      </c>
      <c r="E15" s="15" t="inlineStr">
        <is>
          <t>Miscellaneous</t>
        </is>
      </c>
      <c r="F15" s="15" t="inlineStr">
        <is>
          <t>Agency</t>
        </is>
      </c>
      <c r="G15" s="15" t="inlineStr">
        <is>
          <t>Junaid Akram</t>
        </is>
      </c>
      <c r="H15" s="15" t="inlineStr">
        <is>
          <t>Individual</t>
        </is>
      </c>
      <c r="I15" s="14" t="n">
        <v>1200000</v>
      </c>
      <c r="J15" s="14" t="n">
        <v>20000</v>
      </c>
      <c r="K15" s="14" t="n">
        <v>15603</v>
      </c>
      <c r="L15" s="14" t="n">
        <v>1</v>
      </c>
      <c r="M15" s="15" t="inlineStr">
        <is>
          <t>Cancelled</t>
        </is>
      </c>
    </row>
    <row r="16">
      <c r="A16" s="7" t="inlineStr">
        <is>
          <t>ADM-MAR-KHI-2024-2011</t>
        </is>
      </c>
      <c r="B16" s="40" t="n">
        <v>45611</v>
      </c>
      <c r="C16" s="7" t="inlineStr">
        <is>
          <t>Karachi Main</t>
        </is>
      </c>
      <c r="D16" s="7" t="inlineStr">
        <is>
          <t>South</t>
        </is>
      </c>
      <c r="E16" s="7" t="inlineStr">
        <is>
          <t>Marine Cargo</t>
        </is>
      </c>
      <c r="F16" s="7" t="inlineStr">
        <is>
          <t>Bancassurance</t>
        </is>
      </c>
      <c r="G16" s="7" t="inlineStr">
        <is>
          <t>Hamid Raza</t>
        </is>
      </c>
      <c r="H16" s="7" t="inlineStr">
        <is>
          <t>Corporate</t>
        </is>
      </c>
      <c r="I16" s="11" t="n">
        <v>47000000</v>
      </c>
      <c r="J16" s="11" t="n">
        <v>716000</v>
      </c>
      <c r="K16" s="11" t="n">
        <v>109689</v>
      </c>
      <c r="L16" s="11" t="n">
        <v>1</v>
      </c>
      <c r="M16" s="7" t="inlineStr">
        <is>
          <t>Active</t>
        </is>
      </c>
    </row>
    <row r="17">
      <c r="A17" s="15" t="inlineStr">
        <is>
          <t>ADM-ENG-LHR-2024-2012</t>
        </is>
      </c>
      <c r="B17" s="41" t="n">
        <v>45648</v>
      </c>
      <c r="C17" s="15" t="inlineStr">
        <is>
          <t>Lahore Gulberg</t>
        </is>
      </c>
      <c r="D17" s="15" t="inlineStr">
        <is>
          <t>Central</t>
        </is>
      </c>
      <c r="E17" s="15" t="inlineStr">
        <is>
          <t>Engineering</t>
        </is>
      </c>
      <c r="F17" s="15" t="inlineStr">
        <is>
          <t>Corporate</t>
        </is>
      </c>
      <c r="G17" s="15" t="inlineStr">
        <is>
          <t>Nimra Saleem</t>
        </is>
      </c>
      <c r="H17" s="15" t="inlineStr">
        <is>
          <t>Corporate</t>
        </is>
      </c>
      <c r="I17" s="14" t="n">
        <v>28000000</v>
      </c>
      <c r="J17" s="14" t="n">
        <v>722600</v>
      </c>
      <c r="K17" s="14" t="n">
        <v>919063</v>
      </c>
      <c r="L17" s="14" t="n">
        <v>1</v>
      </c>
      <c r="M17" s="15" t="inlineStr">
        <is>
          <t>Active</t>
        </is>
      </c>
    </row>
    <row r="18">
      <c r="A18" s="7" t="inlineStr">
        <is>
          <t>ADM-FIR-ISB-2024-2013</t>
        </is>
      </c>
      <c r="B18" s="40" t="n">
        <v>45292</v>
      </c>
      <c r="C18" s="7" t="inlineStr">
        <is>
          <t>Islamabad Blue Area</t>
        </is>
      </c>
      <c r="D18" s="7" t="inlineStr">
        <is>
          <t>North</t>
        </is>
      </c>
      <c r="E18" s="7" t="inlineStr">
        <is>
          <t>Fire &amp; Property</t>
        </is>
      </c>
      <c r="F18" s="7" t="inlineStr">
        <is>
          <t>Direct</t>
        </is>
      </c>
      <c r="G18" s="7" t="inlineStr">
        <is>
          <t>Tariq Jameel</t>
        </is>
      </c>
      <c r="H18" s="7" t="inlineStr">
        <is>
          <t>Individual</t>
        </is>
      </c>
      <c r="I18" s="11" t="n">
        <v>19000000</v>
      </c>
      <c r="J18" s="11" t="n">
        <v>472900</v>
      </c>
      <c r="K18" s="11" t="n">
        <v>891308</v>
      </c>
      <c r="L18" s="11" t="n">
        <v>1</v>
      </c>
      <c r="M18" s="7" t="inlineStr">
        <is>
          <t>Renewed</t>
        </is>
      </c>
    </row>
    <row r="19">
      <c r="A19" s="15" t="inlineStr">
        <is>
          <t>ADM-TRV-FSD-2024-2014</t>
        </is>
      </c>
      <c r="B19" s="41" t="n">
        <v>45330</v>
      </c>
      <c r="C19" s="15" t="inlineStr">
        <is>
          <t>Faisalabad</t>
        </is>
      </c>
      <c r="D19" s="15" t="inlineStr">
        <is>
          <t>Central</t>
        </is>
      </c>
      <c r="E19" s="15" t="inlineStr">
        <is>
          <t>Travel</t>
        </is>
      </c>
      <c r="F19" s="15" t="inlineStr">
        <is>
          <t>Agency</t>
        </is>
      </c>
      <c r="G19" s="15" t="inlineStr">
        <is>
          <t>Nadia Hassan</t>
        </is>
      </c>
      <c r="H19" s="15" t="inlineStr">
        <is>
          <t>Corporate</t>
        </is>
      </c>
      <c r="I19" s="14" t="n">
        <v>3400000</v>
      </c>
      <c r="J19" s="14" t="n">
        <v>66300</v>
      </c>
      <c r="K19" s="14" t="n">
        <v>114579</v>
      </c>
      <c r="L19" s="14" t="n">
        <v>1</v>
      </c>
      <c r="M19" s="15" t="inlineStr">
        <is>
          <t>Lapsed</t>
        </is>
      </c>
    </row>
    <row r="20">
      <c r="A20" s="7" t="inlineStr">
        <is>
          <t>ADM-MTR-MUL-2024-2015</t>
        </is>
      </c>
      <c r="B20" s="40" t="n">
        <v>45366</v>
      </c>
      <c r="C20" s="7" t="inlineStr">
        <is>
          <t>Multan</t>
        </is>
      </c>
      <c r="D20" s="7" t="inlineStr">
        <is>
          <t>Central</t>
        </is>
      </c>
      <c r="E20" s="7" t="inlineStr">
        <is>
          <t>Motor</t>
        </is>
      </c>
      <c r="F20" s="7" t="inlineStr">
        <is>
          <t>Bancassurance</t>
        </is>
      </c>
      <c r="G20" s="7" t="inlineStr">
        <is>
          <t>Salman Shah</t>
        </is>
      </c>
      <c r="H20" s="7" t="inlineStr">
        <is>
          <t>Corporate</t>
        </is>
      </c>
      <c r="I20" s="11" t="n">
        <v>28000000</v>
      </c>
      <c r="J20" s="11" t="n">
        <v>502000</v>
      </c>
      <c r="K20" s="11" t="n">
        <v>218330</v>
      </c>
      <c r="L20" s="11" t="n">
        <v>1</v>
      </c>
      <c r="M20" s="7" t="inlineStr">
        <is>
          <t>Cancelled</t>
        </is>
      </c>
    </row>
    <row r="21">
      <c r="A21" s="15" t="inlineStr">
        <is>
          <t>ADM-HLT-PEW-2024-2016</t>
        </is>
      </c>
      <c r="B21" s="41" t="n">
        <v>45404</v>
      </c>
      <c r="C21" s="15" t="inlineStr">
        <is>
          <t>Peshawar</t>
        </is>
      </c>
      <c r="D21" s="15" t="inlineStr">
        <is>
          <t>North</t>
        </is>
      </c>
      <c r="E21" s="15" t="inlineStr">
        <is>
          <t>Health</t>
        </is>
      </c>
      <c r="F21" s="15" t="inlineStr">
        <is>
          <t>Corporate</t>
        </is>
      </c>
      <c r="G21" s="15" t="inlineStr">
        <is>
          <t>Komal Bashir</t>
        </is>
      </c>
      <c r="H21" s="15" t="inlineStr">
        <is>
          <t>Individual</t>
        </is>
      </c>
      <c r="I21" s="14" t="n">
        <v>47000000</v>
      </c>
      <c r="J21" s="14" t="n">
        <v>1011100</v>
      </c>
      <c r="K21" s="14" t="n">
        <v>1308447</v>
      </c>
      <c r="L21" s="14" t="n">
        <v>1</v>
      </c>
      <c r="M21" s="15" t="inlineStr">
        <is>
          <t>Active</t>
        </is>
      </c>
    </row>
    <row r="22">
      <c r="A22" s="7" t="inlineStr">
        <is>
          <t>ADM-MSC-QTA-2024-2017</t>
        </is>
      </c>
      <c r="B22" s="40" t="n">
        <v>45413</v>
      </c>
      <c r="C22" s="7" t="inlineStr">
        <is>
          <t>Quetta</t>
        </is>
      </c>
      <c r="D22" s="7" t="inlineStr">
        <is>
          <t>South</t>
        </is>
      </c>
      <c r="E22" s="7" t="inlineStr">
        <is>
          <t>Miscellaneous</t>
        </is>
      </c>
      <c r="F22" s="7" t="inlineStr">
        <is>
          <t>Direct</t>
        </is>
      </c>
      <c r="G22" s="7" t="inlineStr">
        <is>
          <t>Waqar Younis Khan</t>
        </is>
      </c>
      <c r="H22" s="7" t="inlineStr">
        <is>
          <t>Corporate</t>
        </is>
      </c>
      <c r="I22" s="11" t="n">
        <v>28000000</v>
      </c>
      <c r="J22" s="11" t="n">
        <v>240800</v>
      </c>
      <c r="K22" s="11" t="n">
        <v>175880</v>
      </c>
      <c r="L22" s="11" t="n">
        <v>1</v>
      </c>
      <c r="M22" s="7" t="inlineStr">
        <is>
          <t>Active</t>
        </is>
      </c>
    </row>
    <row r="23">
      <c r="A23" s="15" t="inlineStr">
        <is>
          <t>ADM-MAR-HYD-2024-2018</t>
        </is>
      </c>
      <c r="B23" s="41" t="n">
        <v>45451</v>
      </c>
      <c r="C23" s="15" t="inlineStr">
        <is>
          <t>Hyderabad</t>
        </is>
      </c>
      <c r="D23" s="15" t="inlineStr">
        <is>
          <t>South</t>
        </is>
      </c>
      <c r="E23" s="15" t="inlineStr">
        <is>
          <t>Marine Cargo</t>
        </is>
      </c>
      <c r="F23" s="15" t="inlineStr">
        <is>
          <t>Agency</t>
        </is>
      </c>
      <c r="G23" s="15" t="inlineStr">
        <is>
          <t>Amna Zubair</t>
        </is>
      </c>
      <c r="H23" s="15" t="inlineStr">
        <is>
          <t>Corporate</t>
        </is>
      </c>
      <c r="I23" s="14" t="n">
        <v>6800000</v>
      </c>
      <c r="J23" s="14" t="n">
        <v>191900</v>
      </c>
      <c r="K23" s="14" t="n">
        <v>307821</v>
      </c>
      <c r="L23" s="14" t="n">
        <v>1</v>
      </c>
      <c r="M23" s="15" t="inlineStr">
        <is>
          <t>Renewed</t>
        </is>
      </c>
    </row>
    <row r="24">
      <c r="A24" s="7" t="inlineStr">
        <is>
          <t>ADM-ENG-SKT-2024-2019</t>
        </is>
      </c>
      <c r="B24" s="40" t="n">
        <v>45488</v>
      </c>
      <c r="C24" s="7" t="inlineStr">
        <is>
          <t>Sialkot</t>
        </is>
      </c>
      <c r="D24" s="7" t="inlineStr">
        <is>
          <t>Central</t>
        </is>
      </c>
      <c r="E24" s="7" t="inlineStr">
        <is>
          <t>Engineering</t>
        </is>
      </c>
      <c r="F24" s="7" t="inlineStr">
        <is>
          <t>Bancassurance</t>
        </is>
      </c>
      <c r="G24" s="7" t="inlineStr">
        <is>
          <t>Rizwan Ali Soomro</t>
        </is>
      </c>
      <c r="H24" s="7" t="inlineStr">
        <is>
          <t>Individual</t>
        </is>
      </c>
      <c r="I24" s="11" t="n">
        <v>28000000</v>
      </c>
      <c r="J24" s="11" t="n">
        <v>576800</v>
      </c>
      <c r="K24" s="11" t="n">
        <v>942646</v>
      </c>
      <c r="L24" s="11" t="n">
        <v>1</v>
      </c>
      <c r="M24" s="7" t="inlineStr">
        <is>
          <t>Lapsed</t>
        </is>
      </c>
    </row>
    <row r="25">
      <c r="A25" s="15" t="inlineStr">
        <is>
          <t>ADM-FIR-RWP-2024-2020</t>
        </is>
      </c>
      <c r="B25" s="41" t="n">
        <v>45526</v>
      </c>
      <c r="C25" s="15" t="inlineStr">
        <is>
          <t>Rawalpindi</t>
        </is>
      </c>
      <c r="D25" s="15" t="inlineStr">
        <is>
          <t>North</t>
        </is>
      </c>
      <c r="E25" s="15" t="inlineStr">
        <is>
          <t>Fire &amp; Property</t>
        </is>
      </c>
      <c r="F25" s="15" t="inlineStr">
        <is>
          <t>Corporate</t>
        </is>
      </c>
      <c r="G25" s="15" t="inlineStr">
        <is>
          <t>Farhan Dar</t>
        </is>
      </c>
      <c r="H25" s="15" t="inlineStr">
        <is>
          <t>Corporate</t>
        </is>
      </c>
      <c r="I25" s="14" t="n">
        <v>3400000</v>
      </c>
      <c r="J25" s="14" t="n">
        <v>36800</v>
      </c>
      <c r="K25" s="14" t="n">
        <v>46076</v>
      </c>
      <c r="L25" s="14" t="n">
        <v>1</v>
      </c>
      <c r="M25" s="15" t="inlineStr">
        <is>
          <t>Cancelled</t>
        </is>
      </c>
    </row>
    <row r="26">
      <c r="A26" s="7" t="inlineStr">
        <is>
          <t>ADM-TRV-KHI-2024-2021</t>
        </is>
      </c>
      <c r="B26" s="40" t="n">
        <v>45536</v>
      </c>
      <c r="C26" s="7" t="inlineStr">
        <is>
          <t>Karachi Main</t>
        </is>
      </c>
      <c r="D26" s="7" t="inlineStr">
        <is>
          <t>South</t>
        </is>
      </c>
      <c r="E26" s="7" t="inlineStr">
        <is>
          <t>Travel</t>
        </is>
      </c>
      <c r="F26" s="7" t="inlineStr">
        <is>
          <t>Direct</t>
        </is>
      </c>
      <c r="G26" s="7" t="inlineStr">
        <is>
          <t>Sobia Naz</t>
        </is>
      </c>
      <c r="H26" s="7" t="inlineStr">
        <is>
          <t>Corporate</t>
        </is>
      </c>
      <c r="I26" s="11" t="n">
        <v>19000000</v>
      </c>
      <c r="J26" s="11" t="n">
        <v>161800</v>
      </c>
      <c r="K26" s="11" t="n">
        <v>221138</v>
      </c>
      <c r="L26" s="11" t="n">
        <v>1</v>
      </c>
      <c r="M26" s="7" t="inlineStr">
        <is>
          <t>Active</t>
        </is>
      </c>
    </row>
    <row r="27">
      <c r="A27" s="15" t="inlineStr">
        <is>
          <t>ADM-MTR-LHR-2024-2022</t>
        </is>
      </c>
      <c r="B27" s="41" t="n">
        <v>45573</v>
      </c>
      <c r="C27" s="15" t="inlineStr">
        <is>
          <t>Lahore Gulberg</t>
        </is>
      </c>
      <c r="D27" s="15" t="inlineStr">
        <is>
          <t>Central</t>
        </is>
      </c>
      <c r="E27" s="15" t="inlineStr">
        <is>
          <t>Motor</t>
        </is>
      </c>
      <c r="F27" s="15" t="inlineStr">
        <is>
          <t>Agency</t>
        </is>
      </c>
      <c r="G27" s="15" t="inlineStr">
        <is>
          <t>Junaid Akram</t>
        </is>
      </c>
      <c r="H27" s="15" t="inlineStr">
        <is>
          <t>Individual</t>
        </is>
      </c>
      <c r="I27" s="14" t="n">
        <v>72000000</v>
      </c>
      <c r="J27" s="14" t="n">
        <v>1055500</v>
      </c>
      <c r="K27" s="14" t="n">
        <v>844771</v>
      </c>
      <c r="L27" s="14" t="n">
        <v>1</v>
      </c>
      <c r="M27" s="15" t="inlineStr">
        <is>
          <t>Active</t>
        </is>
      </c>
    </row>
    <row r="28">
      <c r="A28" s="7" t="inlineStr">
        <is>
          <t>ADM-HLT-ISB-2024-2023</t>
        </is>
      </c>
      <c r="B28" s="40" t="n">
        <v>45611</v>
      </c>
      <c r="C28" s="7" t="inlineStr">
        <is>
          <t>Islamabad Blue Area</t>
        </is>
      </c>
      <c r="D28" s="7" t="inlineStr">
        <is>
          <t>North</t>
        </is>
      </c>
      <c r="E28" s="7" t="inlineStr">
        <is>
          <t>Health</t>
        </is>
      </c>
      <c r="F28" s="7" t="inlineStr">
        <is>
          <t>Bancassurance</t>
        </is>
      </c>
      <c r="G28" s="7" t="inlineStr">
        <is>
          <t>Hamid Raza</t>
        </is>
      </c>
      <c r="H28" s="7" t="inlineStr">
        <is>
          <t>Corporate</t>
        </is>
      </c>
      <c r="I28" s="11" t="n">
        <v>1200000</v>
      </c>
      <c r="J28" s="11" t="n">
        <v>6400</v>
      </c>
      <c r="K28" s="11" t="n">
        <v>498</v>
      </c>
      <c r="L28" s="11" t="n">
        <v>1</v>
      </c>
      <c r="M28" s="7" t="inlineStr">
        <is>
          <t>Renewed</t>
        </is>
      </c>
    </row>
    <row r="29">
      <c r="A29" s="15" t="inlineStr">
        <is>
          <t>ADM-MSC-FSD-2024-2024</t>
        </is>
      </c>
      <c r="B29" s="41" t="n">
        <v>45648</v>
      </c>
      <c r="C29" s="15" t="inlineStr">
        <is>
          <t>Faisalabad</t>
        </is>
      </c>
      <c r="D29" s="15" t="inlineStr">
        <is>
          <t>Central</t>
        </is>
      </c>
      <c r="E29" s="15" t="inlineStr">
        <is>
          <t>Miscellaneous</t>
        </is>
      </c>
      <c r="F29" s="15" t="inlineStr">
        <is>
          <t>Corporate</t>
        </is>
      </c>
      <c r="G29" s="15" t="inlineStr">
        <is>
          <t>Nimra Saleem</t>
        </is>
      </c>
      <c r="H29" s="15" t="inlineStr">
        <is>
          <t>Corporate</t>
        </is>
      </c>
      <c r="I29" s="14" t="n">
        <v>1200000</v>
      </c>
      <c r="J29" s="14" t="n">
        <v>33200</v>
      </c>
      <c r="K29" s="14" t="n">
        <v>32745</v>
      </c>
      <c r="L29" s="14" t="n">
        <v>1</v>
      </c>
      <c r="M29" s="15" t="inlineStr">
        <is>
          <t>Lapsed</t>
        </is>
      </c>
    </row>
    <row r="30">
      <c r="A30" s="7" t="inlineStr">
        <is>
          <t>ADM-MAR-MUL-2024-2025</t>
        </is>
      </c>
      <c r="B30" s="40" t="n">
        <v>45292</v>
      </c>
      <c r="C30" s="7" t="inlineStr">
        <is>
          <t>Multan</t>
        </is>
      </c>
      <c r="D30" s="7" t="inlineStr">
        <is>
          <t>Central</t>
        </is>
      </c>
      <c r="E30" s="7" t="inlineStr">
        <is>
          <t>Marine Cargo</t>
        </is>
      </c>
      <c r="F30" s="7" t="inlineStr">
        <is>
          <t>Direct</t>
        </is>
      </c>
      <c r="G30" s="7" t="inlineStr">
        <is>
          <t>Tariq Jameel</t>
        </is>
      </c>
      <c r="H30" s="7" t="inlineStr">
        <is>
          <t>Individual</t>
        </is>
      </c>
      <c r="I30" s="11" t="n">
        <v>11500000</v>
      </c>
      <c r="J30" s="11" t="n">
        <v>208500</v>
      </c>
      <c r="K30" s="11" t="n">
        <v>71918</v>
      </c>
      <c r="L30" s="11" t="n">
        <v>1</v>
      </c>
      <c r="M30" s="7" t="inlineStr">
        <is>
          <t>Cancelled</t>
        </is>
      </c>
    </row>
    <row r="31">
      <c r="A31" s="15" t="inlineStr">
        <is>
          <t>ADM-ENG-PEW-2024-2026</t>
        </is>
      </c>
      <c r="B31" s="41" t="n">
        <v>45330</v>
      </c>
      <c r="C31" s="15" t="inlineStr">
        <is>
          <t>Peshawar</t>
        </is>
      </c>
      <c r="D31" s="15" t="inlineStr">
        <is>
          <t>North</t>
        </is>
      </c>
      <c r="E31" s="15" t="inlineStr">
        <is>
          <t>Engineering</t>
        </is>
      </c>
      <c r="F31" s="15" t="inlineStr">
        <is>
          <t>Agency</t>
        </is>
      </c>
      <c r="G31" s="15" t="inlineStr">
        <is>
          <t>Nadia Hassan</t>
        </is>
      </c>
      <c r="H31" s="15" t="inlineStr">
        <is>
          <t>Corporate</t>
        </is>
      </c>
      <c r="I31" s="14" t="n">
        <v>1200000</v>
      </c>
      <c r="J31" s="14" t="n">
        <v>29100</v>
      </c>
      <c r="K31" s="14" t="n">
        <v>4151</v>
      </c>
      <c r="L31" s="14" t="n">
        <v>1</v>
      </c>
      <c r="M31" s="15" t="inlineStr">
        <is>
          <t>Active</t>
        </is>
      </c>
    </row>
    <row r="32">
      <c r="A32" s="7" t="inlineStr">
        <is>
          <t>ADM-FIR-QTA-2024-2027</t>
        </is>
      </c>
      <c r="B32" s="40" t="n">
        <v>45366</v>
      </c>
      <c r="C32" s="7" t="inlineStr">
        <is>
          <t>Quetta</t>
        </is>
      </c>
      <c r="D32" s="7" t="inlineStr">
        <is>
          <t>South</t>
        </is>
      </c>
      <c r="E32" s="7" t="inlineStr">
        <is>
          <t>Fire &amp; Property</t>
        </is>
      </c>
      <c r="F32" s="7" t="inlineStr">
        <is>
          <t>Bancassurance</t>
        </is>
      </c>
      <c r="G32" s="7" t="inlineStr">
        <is>
          <t>Salman Shah</t>
        </is>
      </c>
      <c r="H32" s="7" t="inlineStr">
        <is>
          <t>Corporate</t>
        </is>
      </c>
      <c r="I32" s="11" t="n">
        <v>1200000</v>
      </c>
      <c r="J32" s="11" t="n">
        <v>9500</v>
      </c>
      <c r="K32" s="11" t="n">
        <v>12702</v>
      </c>
      <c r="L32" s="11" t="n">
        <v>1</v>
      </c>
      <c r="M32" s="7" t="inlineStr">
        <is>
          <t>Active</t>
        </is>
      </c>
    </row>
    <row r="33">
      <c r="A33" s="15" t="inlineStr">
        <is>
          <t>ADM-TRV-HYD-2024-2028</t>
        </is>
      </c>
      <c r="B33" s="41" t="n">
        <v>45404</v>
      </c>
      <c r="C33" s="15" t="inlineStr">
        <is>
          <t>Hyderabad</t>
        </is>
      </c>
      <c r="D33" s="15" t="inlineStr">
        <is>
          <t>South</t>
        </is>
      </c>
      <c r="E33" s="15" t="inlineStr">
        <is>
          <t>Travel</t>
        </is>
      </c>
      <c r="F33" s="15" t="inlineStr">
        <is>
          <t>Corporate</t>
        </is>
      </c>
      <c r="G33" s="15" t="inlineStr">
        <is>
          <t>Komal Bashir</t>
        </is>
      </c>
      <c r="H33" s="15" t="inlineStr">
        <is>
          <t>Individual</t>
        </is>
      </c>
      <c r="I33" s="14" t="n">
        <v>19000000</v>
      </c>
      <c r="J33" s="14" t="n">
        <v>477300</v>
      </c>
      <c r="K33" s="14" t="n">
        <v>729502</v>
      </c>
      <c r="L33" s="14" t="n">
        <v>1</v>
      </c>
      <c r="M33" s="15" t="inlineStr">
        <is>
          <t>Renewed</t>
        </is>
      </c>
    </row>
    <row r="34">
      <c r="A34" s="7" t="inlineStr">
        <is>
          <t>ADM-MTR-SKT-2024-2029</t>
        </is>
      </c>
      <c r="B34" s="40" t="n">
        <v>45413</v>
      </c>
      <c r="C34" s="7" t="inlineStr">
        <is>
          <t>Sialkot</t>
        </is>
      </c>
      <c r="D34" s="7" t="inlineStr">
        <is>
          <t>Central</t>
        </is>
      </c>
      <c r="E34" s="7" t="inlineStr">
        <is>
          <t>Motor</t>
        </is>
      </c>
      <c r="F34" s="7" t="inlineStr">
        <is>
          <t>Direct</t>
        </is>
      </c>
      <c r="G34" s="7" t="inlineStr">
        <is>
          <t>Waqar Younis Khan</t>
        </is>
      </c>
      <c r="H34" s="7" t="inlineStr">
        <is>
          <t>Corporate</t>
        </is>
      </c>
      <c r="I34" s="11" t="n">
        <v>1200000</v>
      </c>
      <c r="J34" s="11" t="n">
        <v>29800</v>
      </c>
      <c r="K34" s="11" t="n">
        <v>28455</v>
      </c>
      <c r="L34" s="11" t="n">
        <v>1</v>
      </c>
      <c r="M34" s="7" t="inlineStr">
        <is>
          <t>Lapsed</t>
        </is>
      </c>
    </row>
    <row r="35">
      <c r="A35" s="15" t="inlineStr">
        <is>
          <t>ADM-HLT-RWP-2024-2030</t>
        </is>
      </c>
      <c r="B35" s="41" t="n">
        <v>45451</v>
      </c>
      <c r="C35" s="15" t="inlineStr">
        <is>
          <t>Rawalpindi</t>
        </is>
      </c>
      <c r="D35" s="15" t="inlineStr">
        <is>
          <t>North</t>
        </is>
      </c>
      <c r="E35" s="15" t="inlineStr">
        <is>
          <t>Health</t>
        </is>
      </c>
      <c r="F35" s="15" t="inlineStr">
        <is>
          <t>Agency</t>
        </is>
      </c>
      <c r="G35" s="15" t="inlineStr">
        <is>
          <t>Amna Zubair</t>
        </is>
      </c>
      <c r="H35" s="15" t="inlineStr">
        <is>
          <t>Corporate</t>
        </is>
      </c>
      <c r="I35" s="14" t="n">
        <v>1200000</v>
      </c>
      <c r="J35" s="14" t="n">
        <v>22700</v>
      </c>
      <c r="K35" s="14" t="n">
        <v>10619</v>
      </c>
      <c r="L35" s="14" t="n">
        <v>1</v>
      </c>
      <c r="M35" s="15" t="inlineStr">
        <is>
          <t>Cancelled</t>
        </is>
      </c>
    </row>
    <row r="36">
      <c r="A36" s="7" t="inlineStr">
        <is>
          <t>ADM-MSC-KHI-2024-2031</t>
        </is>
      </c>
      <c r="B36" s="40" t="n">
        <v>45488</v>
      </c>
      <c r="C36" s="7" t="inlineStr">
        <is>
          <t>Karachi Main</t>
        </is>
      </c>
      <c r="D36" s="7" t="inlineStr">
        <is>
          <t>South</t>
        </is>
      </c>
      <c r="E36" s="7" t="inlineStr">
        <is>
          <t>Miscellaneous</t>
        </is>
      </c>
      <c r="F36" s="7" t="inlineStr">
        <is>
          <t>Bancassurance</t>
        </is>
      </c>
      <c r="G36" s="7" t="inlineStr">
        <is>
          <t>Rizwan Ali Soomro</t>
        </is>
      </c>
      <c r="H36" s="7" t="inlineStr">
        <is>
          <t>Individual</t>
        </is>
      </c>
      <c r="I36" s="11" t="n">
        <v>47000000</v>
      </c>
      <c r="J36" s="11" t="n">
        <v>322500</v>
      </c>
      <c r="K36" s="11" t="n">
        <v>38715</v>
      </c>
      <c r="L36" s="11" t="n">
        <v>1</v>
      </c>
      <c r="M36" s="7" t="inlineStr">
        <is>
          <t>Active</t>
        </is>
      </c>
    </row>
    <row r="37">
      <c r="A37" s="15" t="inlineStr">
        <is>
          <t>ADM-MAR-LHR-2024-2032</t>
        </is>
      </c>
      <c r="B37" s="41" t="n">
        <v>45526</v>
      </c>
      <c r="C37" s="15" t="inlineStr">
        <is>
          <t>Lahore Gulberg</t>
        </is>
      </c>
      <c r="D37" s="15" t="inlineStr">
        <is>
          <t>Central</t>
        </is>
      </c>
      <c r="E37" s="15" t="inlineStr">
        <is>
          <t>Marine Cargo</t>
        </is>
      </c>
      <c r="F37" s="15" t="inlineStr">
        <is>
          <t>Corporate</t>
        </is>
      </c>
      <c r="G37" s="15" t="inlineStr">
        <is>
          <t>Farhan Dar</t>
        </is>
      </c>
      <c r="H37" s="15" t="inlineStr">
        <is>
          <t>Corporate</t>
        </is>
      </c>
      <c r="I37" s="14" t="n">
        <v>3400000</v>
      </c>
      <c r="J37" s="14" t="n">
        <v>25600</v>
      </c>
      <c r="K37" s="14" t="n">
        <v>20754</v>
      </c>
      <c r="L37" s="14" t="n">
        <v>1</v>
      </c>
      <c r="M37" s="15" t="inlineStr">
        <is>
          <t>Active</t>
        </is>
      </c>
    </row>
    <row r="38">
      <c r="A38" s="7" t="inlineStr">
        <is>
          <t>ADM-ENG-ISB-2024-2033</t>
        </is>
      </c>
      <c r="B38" s="40" t="n">
        <v>45536</v>
      </c>
      <c r="C38" s="7" t="inlineStr">
        <is>
          <t>Islamabad Blue Area</t>
        </is>
      </c>
      <c r="D38" s="7" t="inlineStr">
        <is>
          <t>North</t>
        </is>
      </c>
      <c r="E38" s="7" t="inlineStr">
        <is>
          <t>Engineering</t>
        </is>
      </c>
      <c r="F38" s="7" t="inlineStr">
        <is>
          <t>Direct</t>
        </is>
      </c>
      <c r="G38" s="7" t="inlineStr">
        <is>
          <t>Sobia Naz</t>
        </is>
      </c>
      <c r="H38" s="7" t="inlineStr">
        <is>
          <t>Corporate</t>
        </is>
      </c>
      <c r="I38" s="11" t="n">
        <v>3400000</v>
      </c>
      <c r="J38" s="11" t="n">
        <v>75400</v>
      </c>
      <c r="K38" s="11" t="n">
        <v>115086</v>
      </c>
      <c r="L38" s="11" t="n">
        <v>1</v>
      </c>
      <c r="M38" s="7" t="inlineStr">
        <is>
          <t>Renewed</t>
        </is>
      </c>
    </row>
    <row r="39">
      <c r="A39" s="15" t="inlineStr">
        <is>
          <t>ADM-FIR-FSD-2024-2034</t>
        </is>
      </c>
      <c r="B39" s="41" t="n">
        <v>45573</v>
      </c>
      <c r="C39" s="15" t="inlineStr">
        <is>
          <t>Faisalabad</t>
        </is>
      </c>
      <c r="D39" s="15" t="inlineStr">
        <is>
          <t>Central</t>
        </is>
      </c>
      <c r="E39" s="15" t="inlineStr">
        <is>
          <t>Fire &amp; Property</t>
        </is>
      </c>
      <c r="F39" s="15" t="inlineStr">
        <is>
          <t>Agency</t>
        </is>
      </c>
      <c r="G39" s="15" t="inlineStr">
        <is>
          <t>Junaid Akram</t>
        </is>
      </c>
      <c r="H39" s="15" t="inlineStr">
        <is>
          <t>Individual</t>
        </is>
      </c>
      <c r="I39" s="14" t="n">
        <v>47000000</v>
      </c>
      <c r="J39" s="14" t="n">
        <v>850800</v>
      </c>
      <c r="K39" s="14" t="n">
        <v>1420024</v>
      </c>
      <c r="L39" s="14" t="n">
        <v>1</v>
      </c>
      <c r="M39" s="15" t="inlineStr">
        <is>
          <t>Lapsed</t>
        </is>
      </c>
    </row>
    <row r="40">
      <c r="A40" s="7" t="inlineStr">
        <is>
          <t>ADM-TRV-MUL-2024-2035</t>
        </is>
      </c>
      <c r="B40" s="40" t="n">
        <v>45611</v>
      </c>
      <c r="C40" s="7" t="inlineStr">
        <is>
          <t>Multan</t>
        </is>
      </c>
      <c r="D40" s="7" t="inlineStr">
        <is>
          <t>Central</t>
        </is>
      </c>
      <c r="E40" s="7" t="inlineStr">
        <is>
          <t>Travel</t>
        </is>
      </c>
      <c r="F40" s="7" t="inlineStr">
        <is>
          <t>Bancassurance</t>
        </is>
      </c>
      <c r="G40" s="7" t="inlineStr">
        <is>
          <t>Hamid Raza</t>
        </is>
      </c>
      <c r="H40" s="7" t="inlineStr">
        <is>
          <t>Corporate</t>
        </is>
      </c>
      <c r="I40" s="11" t="n">
        <v>1200000</v>
      </c>
      <c r="J40" s="11" t="n">
        <v>33800</v>
      </c>
      <c r="K40" s="11" t="n">
        <v>30579</v>
      </c>
      <c r="L40" s="11" t="n">
        <v>1</v>
      </c>
      <c r="M40" s="7" t="inlineStr">
        <is>
          <t>Cancelled</t>
        </is>
      </c>
    </row>
    <row r="41">
      <c r="A41" s="15" t="inlineStr">
        <is>
          <t>ADM-MTR-PEW-2024-2036</t>
        </is>
      </c>
      <c r="B41" s="41" t="n">
        <v>45648</v>
      </c>
      <c r="C41" s="15" t="inlineStr">
        <is>
          <t>Peshawar</t>
        </is>
      </c>
      <c r="D41" s="15" t="inlineStr">
        <is>
          <t>North</t>
        </is>
      </c>
      <c r="E41" s="15" t="inlineStr">
        <is>
          <t>Motor</t>
        </is>
      </c>
      <c r="F41" s="15" t="inlineStr">
        <is>
          <t>Corporate</t>
        </is>
      </c>
      <c r="G41" s="15" t="inlineStr">
        <is>
          <t>Nimra Saleem</t>
        </is>
      </c>
      <c r="H41" s="15" t="inlineStr">
        <is>
          <t>Corporate</t>
        </is>
      </c>
      <c r="I41" s="14" t="n">
        <v>72000000</v>
      </c>
      <c r="J41" s="14" t="n">
        <v>565300</v>
      </c>
      <c r="K41" s="14" t="n">
        <v>412203</v>
      </c>
      <c r="L41" s="14" t="n">
        <v>1</v>
      </c>
      <c r="M41" s="15" t="inlineStr">
        <is>
          <t>Active</t>
        </is>
      </c>
    </row>
    <row r="42">
      <c r="A42" s="7" t="inlineStr">
        <is>
          <t>ADM-HLT-QTA-2024-2037</t>
        </is>
      </c>
      <c r="B42" s="40" t="n">
        <v>45292</v>
      </c>
      <c r="C42" s="7" t="inlineStr">
        <is>
          <t>Quetta</t>
        </is>
      </c>
      <c r="D42" s="7" t="inlineStr">
        <is>
          <t>South</t>
        </is>
      </c>
      <c r="E42" s="7" t="inlineStr">
        <is>
          <t>Health</t>
        </is>
      </c>
      <c r="F42" s="7" t="inlineStr">
        <is>
          <t>Direct</t>
        </is>
      </c>
      <c r="G42" s="7" t="inlineStr">
        <is>
          <t>Tariq Jameel</t>
        </is>
      </c>
      <c r="H42" s="7" t="inlineStr">
        <is>
          <t>Individual</t>
        </is>
      </c>
      <c r="I42" s="11" t="n">
        <v>6800000</v>
      </c>
      <c r="J42" s="11" t="n">
        <v>67400</v>
      </c>
      <c r="K42" s="11" t="n">
        <v>48692</v>
      </c>
      <c r="L42" s="11" t="n">
        <v>1</v>
      </c>
      <c r="M42" s="7" t="inlineStr">
        <is>
          <t>Active</t>
        </is>
      </c>
    </row>
    <row r="43">
      <c r="A43" s="15" t="inlineStr">
        <is>
          <t>ADM-MSC-HYD-2024-2038</t>
        </is>
      </c>
      <c r="B43" s="41" t="n">
        <v>45330</v>
      </c>
      <c r="C43" s="15" t="inlineStr">
        <is>
          <t>Hyderabad</t>
        </is>
      </c>
      <c r="D43" s="15" t="inlineStr">
        <is>
          <t>South</t>
        </is>
      </c>
      <c r="E43" s="15" t="inlineStr">
        <is>
          <t>Miscellaneous</t>
        </is>
      </c>
      <c r="F43" s="15" t="inlineStr">
        <is>
          <t>Agency</t>
        </is>
      </c>
      <c r="G43" s="15" t="inlineStr">
        <is>
          <t>Nadia Hassan</t>
        </is>
      </c>
      <c r="H43" s="15" t="inlineStr">
        <is>
          <t>Corporate</t>
        </is>
      </c>
      <c r="I43" s="14" t="n">
        <v>72000000</v>
      </c>
      <c r="J43" s="14" t="n">
        <v>1545300</v>
      </c>
      <c r="K43" s="14" t="n">
        <v>2216356</v>
      </c>
      <c r="L43" s="14" t="n">
        <v>1</v>
      </c>
      <c r="M43" s="15" t="inlineStr">
        <is>
          <t>Renewed</t>
        </is>
      </c>
    </row>
    <row r="44">
      <c r="A44" s="7" t="inlineStr">
        <is>
          <t>ADM-MAR-SKT-2024-2039</t>
        </is>
      </c>
      <c r="B44" s="40" t="n">
        <v>45366</v>
      </c>
      <c r="C44" s="7" t="inlineStr">
        <is>
          <t>Sialkot</t>
        </is>
      </c>
      <c r="D44" s="7" t="inlineStr">
        <is>
          <t>Central</t>
        </is>
      </c>
      <c r="E44" s="7" t="inlineStr">
        <is>
          <t>Marine Cargo</t>
        </is>
      </c>
      <c r="F44" s="7" t="inlineStr">
        <is>
          <t>Bancassurance</t>
        </is>
      </c>
      <c r="G44" s="7" t="inlineStr">
        <is>
          <t>Salman Shah</t>
        </is>
      </c>
      <c r="H44" s="7" t="inlineStr">
        <is>
          <t>Corporate</t>
        </is>
      </c>
      <c r="I44" s="11" t="n">
        <v>6800000</v>
      </c>
      <c r="J44" s="11" t="n">
        <v>69600</v>
      </c>
      <c r="K44" s="11" t="n">
        <v>27900</v>
      </c>
      <c r="L44" s="11" t="n">
        <v>1</v>
      </c>
      <c r="M44" s="7" t="inlineStr">
        <is>
          <t>Lapsed</t>
        </is>
      </c>
    </row>
    <row r="45">
      <c r="A45" s="15" t="inlineStr">
        <is>
          <t>ADM-ENG-RWP-2024-2040</t>
        </is>
      </c>
      <c r="B45" s="41" t="n">
        <v>45404</v>
      </c>
      <c r="C45" s="15" t="inlineStr">
        <is>
          <t>Rawalpindi</t>
        </is>
      </c>
      <c r="D45" s="15" t="inlineStr">
        <is>
          <t>North</t>
        </is>
      </c>
      <c r="E45" s="15" t="inlineStr">
        <is>
          <t>Engineering</t>
        </is>
      </c>
      <c r="F45" s="15" t="inlineStr">
        <is>
          <t>Corporate</t>
        </is>
      </c>
      <c r="G45" s="15" t="inlineStr">
        <is>
          <t>Komal Bashir</t>
        </is>
      </c>
      <c r="H45" s="15" t="inlineStr">
        <is>
          <t>Individual</t>
        </is>
      </c>
      <c r="I45" s="14" t="n">
        <v>19000000</v>
      </c>
      <c r="J45" s="14" t="n">
        <v>342100</v>
      </c>
      <c r="K45" s="14" t="n">
        <v>194150</v>
      </c>
      <c r="L45" s="14" t="n">
        <v>1</v>
      </c>
      <c r="M45" s="15" t="inlineStr">
        <is>
          <t>Cancelled</t>
        </is>
      </c>
    </row>
    <row r="46">
      <c r="A46" s="7" t="inlineStr">
        <is>
          <t>ADM-FIR-KHI-2024-2041</t>
        </is>
      </c>
      <c r="B46" s="40" t="n">
        <v>45413</v>
      </c>
      <c r="C46" s="7" t="inlineStr">
        <is>
          <t>Karachi Main</t>
        </is>
      </c>
      <c r="D46" s="7" t="inlineStr">
        <is>
          <t>South</t>
        </is>
      </c>
      <c r="E46" s="7" t="inlineStr">
        <is>
          <t>Fire &amp; Property</t>
        </is>
      </c>
      <c r="F46" s="7" t="inlineStr">
        <is>
          <t>Direct</t>
        </is>
      </c>
      <c r="G46" s="7" t="inlineStr">
        <is>
          <t>Waqar Younis Khan</t>
        </is>
      </c>
      <c r="H46" s="7" t="inlineStr">
        <is>
          <t>Corporate</t>
        </is>
      </c>
      <c r="I46" s="11" t="n">
        <v>1200000</v>
      </c>
      <c r="J46" s="11" t="n">
        <v>33100</v>
      </c>
      <c r="K46" s="11" t="n">
        <v>22602</v>
      </c>
      <c r="L46" s="11" t="n">
        <v>1</v>
      </c>
      <c r="M46" s="7" t="inlineStr">
        <is>
          <t>Active</t>
        </is>
      </c>
    </row>
    <row r="47">
      <c r="A47" s="15" t="inlineStr">
        <is>
          <t>ADM-TRV-LHR-2024-2042</t>
        </is>
      </c>
      <c r="B47" s="41" t="n">
        <v>45451</v>
      </c>
      <c r="C47" s="15" t="inlineStr">
        <is>
          <t>Lahore Gulberg</t>
        </is>
      </c>
      <c r="D47" s="15" t="inlineStr">
        <is>
          <t>Central</t>
        </is>
      </c>
      <c r="E47" s="15" t="inlineStr">
        <is>
          <t>Travel</t>
        </is>
      </c>
      <c r="F47" s="15" t="inlineStr">
        <is>
          <t>Agency</t>
        </is>
      </c>
      <c r="G47" s="15" t="inlineStr">
        <is>
          <t>Amna Zubair</t>
        </is>
      </c>
      <c r="H47" s="15" t="inlineStr">
        <is>
          <t>Corporate</t>
        </is>
      </c>
      <c r="I47" s="14" t="n">
        <v>1200000</v>
      </c>
      <c r="J47" s="14" t="n">
        <v>33900</v>
      </c>
      <c r="K47" s="14" t="n">
        <v>38937</v>
      </c>
      <c r="L47" s="14" t="n">
        <v>1</v>
      </c>
      <c r="M47" s="15" t="inlineStr">
        <is>
          <t>Active</t>
        </is>
      </c>
    </row>
    <row r="48">
      <c r="A48" s="7" t="inlineStr">
        <is>
          <t>ADM-MTR-ISB-2024-2043</t>
        </is>
      </c>
      <c r="B48" s="40" t="n">
        <v>45488</v>
      </c>
      <c r="C48" s="7" t="inlineStr">
        <is>
          <t>Islamabad Blue Area</t>
        </is>
      </c>
      <c r="D48" s="7" t="inlineStr">
        <is>
          <t>North</t>
        </is>
      </c>
      <c r="E48" s="7" t="inlineStr">
        <is>
          <t>Motor</t>
        </is>
      </c>
      <c r="F48" s="7" t="inlineStr">
        <is>
          <t>Bancassurance</t>
        </is>
      </c>
      <c r="G48" s="7" t="inlineStr">
        <is>
          <t>Rizwan Ali Soomro</t>
        </is>
      </c>
      <c r="H48" s="7" t="inlineStr">
        <is>
          <t>Individual</t>
        </is>
      </c>
      <c r="I48" s="11" t="n">
        <v>1200000</v>
      </c>
      <c r="J48" s="11" t="n">
        <v>32500</v>
      </c>
      <c r="K48" s="11" t="n">
        <v>832</v>
      </c>
      <c r="L48" s="11" t="n">
        <v>1</v>
      </c>
      <c r="M48" s="7" t="inlineStr">
        <is>
          <t>Renewed</t>
        </is>
      </c>
    </row>
    <row r="49">
      <c r="A49" s="15" t="inlineStr">
        <is>
          <t>ADM-HLT-FSD-2024-2044</t>
        </is>
      </c>
      <c r="B49" s="41" t="n">
        <v>45526</v>
      </c>
      <c r="C49" s="15" t="inlineStr">
        <is>
          <t>Faisalabad</t>
        </is>
      </c>
      <c r="D49" s="15" t="inlineStr">
        <is>
          <t>Central</t>
        </is>
      </c>
      <c r="E49" s="15" t="inlineStr">
        <is>
          <t>Health</t>
        </is>
      </c>
      <c r="F49" s="15" t="inlineStr">
        <is>
          <t>Corporate</t>
        </is>
      </c>
      <c r="G49" s="15" t="inlineStr">
        <is>
          <t>Farhan Dar</t>
        </is>
      </c>
      <c r="H49" s="15" t="inlineStr">
        <is>
          <t>Corporate</t>
        </is>
      </c>
      <c r="I49" s="14" t="n">
        <v>19000000</v>
      </c>
      <c r="J49" s="14" t="n">
        <v>533700</v>
      </c>
      <c r="K49" s="14" t="n">
        <v>328720</v>
      </c>
      <c r="L49" s="14" t="n">
        <v>1</v>
      </c>
      <c r="M49" s="15" t="inlineStr">
        <is>
          <t>Lapsed</t>
        </is>
      </c>
    </row>
    <row r="50">
      <c r="A50" s="7" t="inlineStr">
        <is>
          <t>ADM-MSC-MUL-2024-2045</t>
        </is>
      </c>
      <c r="B50" s="40" t="n">
        <v>45536</v>
      </c>
      <c r="C50" s="7" t="inlineStr">
        <is>
          <t>Multan</t>
        </is>
      </c>
      <c r="D50" s="7" t="inlineStr">
        <is>
          <t>Central</t>
        </is>
      </c>
      <c r="E50" s="7" t="inlineStr">
        <is>
          <t>Miscellaneous</t>
        </is>
      </c>
      <c r="F50" s="7" t="inlineStr">
        <is>
          <t>Direct</t>
        </is>
      </c>
      <c r="G50" s="7" t="inlineStr">
        <is>
          <t>Sobia Naz</t>
        </is>
      </c>
      <c r="H50" s="7" t="inlineStr">
        <is>
          <t>Corporate</t>
        </is>
      </c>
      <c r="I50" s="11" t="n">
        <v>6800000</v>
      </c>
      <c r="J50" s="11" t="n">
        <v>98700</v>
      </c>
      <c r="K50" s="11" t="n">
        <v>82186</v>
      </c>
      <c r="L50" s="11" t="n">
        <v>1</v>
      </c>
      <c r="M50" s="7" t="inlineStr">
        <is>
          <t>Cancelled</t>
        </is>
      </c>
    </row>
    <row r="51">
      <c r="A51" s="15" t="inlineStr">
        <is>
          <t>ADM-MAR-PEW-2024-2046</t>
        </is>
      </c>
      <c r="B51" s="41" t="n">
        <v>45573</v>
      </c>
      <c r="C51" s="15" t="inlineStr">
        <is>
          <t>Peshawar</t>
        </is>
      </c>
      <c r="D51" s="15" t="inlineStr">
        <is>
          <t>North</t>
        </is>
      </c>
      <c r="E51" s="15" t="inlineStr">
        <is>
          <t>Marine Cargo</t>
        </is>
      </c>
      <c r="F51" s="15" t="inlineStr">
        <is>
          <t>Agency</t>
        </is>
      </c>
      <c r="G51" s="15" t="inlineStr">
        <is>
          <t>Junaid Akram</t>
        </is>
      </c>
      <c r="H51" s="15" t="inlineStr">
        <is>
          <t>Individual</t>
        </is>
      </c>
      <c r="I51" s="14" t="n">
        <v>6800000</v>
      </c>
      <c r="J51" s="14" t="n">
        <v>86800</v>
      </c>
      <c r="K51" s="14" t="n">
        <v>159241</v>
      </c>
      <c r="L51" s="14" t="n">
        <v>1</v>
      </c>
      <c r="M51" s="15" t="inlineStr">
        <is>
          <t>Active</t>
        </is>
      </c>
    </row>
    <row r="52">
      <c r="A52" s="7" t="inlineStr">
        <is>
          <t>ADM-ENG-QTA-2024-2047</t>
        </is>
      </c>
      <c r="B52" s="40" t="n">
        <v>45611</v>
      </c>
      <c r="C52" s="7" t="inlineStr">
        <is>
          <t>Quetta</t>
        </is>
      </c>
      <c r="D52" s="7" t="inlineStr">
        <is>
          <t>South</t>
        </is>
      </c>
      <c r="E52" s="7" t="inlineStr">
        <is>
          <t>Engineering</t>
        </is>
      </c>
      <c r="F52" s="7" t="inlineStr">
        <is>
          <t>Bancassurance</t>
        </is>
      </c>
      <c r="G52" s="7" t="inlineStr">
        <is>
          <t>Hamid Raza</t>
        </is>
      </c>
      <c r="H52" s="7" t="inlineStr">
        <is>
          <t>Corporate</t>
        </is>
      </c>
      <c r="I52" s="11" t="n">
        <v>11500000</v>
      </c>
      <c r="J52" s="11" t="n">
        <v>241200</v>
      </c>
      <c r="K52" s="11" t="n">
        <v>123144</v>
      </c>
      <c r="L52" s="11" t="n">
        <v>1</v>
      </c>
      <c r="M52" s="7" t="inlineStr">
        <is>
          <t>Active</t>
        </is>
      </c>
    </row>
    <row r="53">
      <c r="A53" s="15" t="inlineStr">
        <is>
          <t>ADM-FIR-HYD-2024-2048</t>
        </is>
      </c>
      <c r="B53" s="41" t="n">
        <v>45648</v>
      </c>
      <c r="C53" s="15" t="inlineStr">
        <is>
          <t>Hyderabad</t>
        </is>
      </c>
      <c r="D53" s="15" t="inlineStr">
        <is>
          <t>South</t>
        </is>
      </c>
      <c r="E53" s="15" t="inlineStr">
        <is>
          <t>Fire &amp; Property</t>
        </is>
      </c>
      <c r="F53" s="15" t="inlineStr">
        <is>
          <t>Corporate</t>
        </is>
      </c>
      <c r="G53" s="15" t="inlineStr">
        <is>
          <t>Nimra Saleem</t>
        </is>
      </c>
      <c r="H53" s="15" t="inlineStr">
        <is>
          <t>Corporate</t>
        </is>
      </c>
      <c r="I53" s="14" t="n">
        <v>72000000</v>
      </c>
      <c r="J53" s="14" t="n">
        <v>750700</v>
      </c>
      <c r="K53" s="14" t="n">
        <v>1310060</v>
      </c>
      <c r="L53" s="14" t="n">
        <v>1</v>
      </c>
      <c r="M53" s="15" t="inlineStr">
        <is>
          <t>Renewed</t>
        </is>
      </c>
    </row>
    <row r="54">
      <c r="A54" s="7" t="inlineStr">
        <is>
          <t>ADM-TRV-SKT-2024-2049</t>
        </is>
      </c>
      <c r="B54" s="40" t="n">
        <v>45292</v>
      </c>
      <c r="C54" s="7" t="inlineStr">
        <is>
          <t>Sialkot</t>
        </is>
      </c>
      <c r="D54" s="7" t="inlineStr">
        <is>
          <t>Central</t>
        </is>
      </c>
      <c r="E54" s="7" t="inlineStr">
        <is>
          <t>Travel</t>
        </is>
      </c>
      <c r="F54" s="7" t="inlineStr">
        <is>
          <t>Direct</t>
        </is>
      </c>
      <c r="G54" s="7" t="inlineStr">
        <is>
          <t>Tariq Jameel</t>
        </is>
      </c>
      <c r="H54" s="7" t="inlineStr">
        <is>
          <t>Individual</t>
        </is>
      </c>
      <c r="I54" s="11" t="n">
        <v>72000000</v>
      </c>
      <c r="J54" s="11" t="n">
        <v>1755700</v>
      </c>
      <c r="K54" s="11" t="n">
        <v>112983</v>
      </c>
      <c r="L54" s="11" t="n">
        <v>1</v>
      </c>
      <c r="M54" s="7" t="inlineStr">
        <is>
          <t>Lapsed</t>
        </is>
      </c>
    </row>
    <row r="55">
      <c r="A55" s="15" t="inlineStr">
        <is>
          <t>ADM-MTR-RWP-2024-2050</t>
        </is>
      </c>
      <c r="B55" s="41" t="n">
        <v>45330</v>
      </c>
      <c r="C55" s="15" t="inlineStr">
        <is>
          <t>Rawalpindi</t>
        </is>
      </c>
      <c r="D55" s="15" t="inlineStr">
        <is>
          <t>North</t>
        </is>
      </c>
      <c r="E55" s="15" t="inlineStr">
        <is>
          <t>Motor</t>
        </is>
      </c>
      <c r="F55" s="15" t="inlineStr">
        <is>
          <t>Agency</t>
        </is>
      </c>
      <c r="G55" s="15" t="inlineStr">
        <is>
          <t>Nadia Hassan</t>
        </is>
      </c>
      <c r="H55" s="15" t="inlineStr">
        <is>
          <t>Corporate</t>
        </is>
      </c>
      <c r="I55" s="14" t="n">
        <v>1200000</v>
      </c>
      <c r="J55" s="14" t="n">
        <v>9200</v>
      </c>
      <c r="K55" s="14" t="n">
        <v>10507</v>
      </c>
      <c r="L55" s="14" t="n">
        <v>1</v>
      </c>
      <c r="M55" s="15" t="inlineStr">
        <is>
          <t>Cancelled</t>
        </is>
      </c>
    </row>
    <row r="56">
      <c r="A56" s="7" t="inlineStr">
        <is>
          <t>ADM-HLT-KHI-2024-2051</t>
        </is>
      </c>
      <c r="B56" s="40" t="n">
        <v>45366</v>
      </c>
      <c r="C56" s="7" t="inlineStr">
        <is>
          <t>Karachi Main</t>
        </is>
      </c>
      <c r="D56" s="7" t="inlineStr">
        <is>
          <t>South</t>
        </is>
      </c>
      <c r="E56" s="7" t="inlineStr">
        <is>
          <t>Health</t>
        </is>
      </c>
      <c r="F56" s="7" t="inlineStr">
        <is>
          <t>Bancassurance</t>
        </is>
      </c>
      <c r="G56" s="7" t="inlineStr">
        <is>
          <t>Salman Shah</t>
        </is>
      </c>
      <c r="H56" s="7" t="inlineStr">
        <is>
          <t>Corporate</t>
        </is>
      </c>
      <c r="I56" s="11" t="n">
        <v>1200000</v>
      </c>
      <c r="J56" s="11" t="n">
        <v>27200</v>
      </c>
      <c r="K56" s="11" t="n">
        <v>43127</v>
      </c>
      <c r="L56" s="11" t="n">
        <v>1</v>
      </c>
      <c r="M56" s="7" t="inlineStr">
        <is>
          <t>Active</t>
        </is>
      </c>
    </row>
    <row r="57">
      <c r="A57" s="15" t="inlineStr">
        <is>
          <t>ADM-MSC-LHR-2024-2052</t>
        </is>
      </c>
      <c r="B57" s="41" t="n">
        <v>45404</v>
      </c>
      <c r="C57" s="15" t="inlineStr">
        <is>
          <t>Lahore Gulberg</t>
        </is>
      </c>
      <c r="D57" s="15" t="inlineStr">
        <is>
          <t>Central</t>
        </is>
      </c>
      <c r="E57" s="15" t="inlineStr">
        <is>
          <t>Miscellaneous</t>
        </is>
      </c>
      <c r="F57" s="15" t="inlineStr">
        <is>
          <t>Corporate</t>
        </is>
      </c>
      <c r="G57" s="15" t="inlineStr">
        <is>
          <t>Komal Bashir</t>
        </is>
      </c>
      <c r="H57" s="15" t="inlineStr">
        <is>
          <t>Individual</t>
        </is>
      </c>
      <c r="I57" s="14" t="n">
        <v>47000000</v>
      </c>
      <c r="J57" s="14" t="n">
        <v>529800</v>
      </c>
      <c r="K57" s="14" t="n">
        <v>256933</v>
      </c>
      <c r="L57" s="14" t="n">
        <v>1</v>
      </c>
      <c r="M57" s="15" t="inlineStr">
        <is>
          <t>Active</t>
        </is>
      </c>
    </row>
    <row r="58">
      <c r="A58" s="7" t="inlineStr">
        <is>
          <t>ADM-MAR-ISB-2024-2053</t>
        </is>
      </c>
      <c r="B58" s="40" t="n">
        <v>45413</v>
      </c>
      <c r="C58" s="7" t="inlineStr">
        <is>
          <t>Islamabad Blue Area</t>
        </is>
      </c>
      <c r="D58" s="7" t="inlineStr">
        <is>
          <t>North</t>
        </is>
      </c>
      <c r="E58" s="7" t="inlineStr">
        <is>
          <t>Marine Cargo</t>
        </is>
      </c>
      <c r="F58" s="7" t="inlineStr">
        <is>
          <t>Direct</t>
        </is>
      </c>
      <c r="G58" s="7" t="inlineStr">
        <is>
          <t>Waqar Younis Khan</t>
        </is>
      </c>
      <c r="H58" s="7" t="inlineStr">
        <is>
          <t>Corporate</t>
        </is>
      </c>
      <c r="I58" s="11" t="n">
        <v>72000000</v>
      </c>
      <c r="J58" s="11" t="n">
        <v>1845200</v>
      </c>
      <c r="K58" s="11" t="n">
        <v>901690</v>
      </c>
      <c r="L58" s="11" t="n">
        <v>1</v>
      </c>
      <c r="M58" s="7" t="inlineStr">
        <is>
          <t>Renewed</t>
        </is>
      </c>
    </row>
    <row r="59">
      <c r="A59" s="15" t="inlineStr">
        <is>
          <t>ADM-ENG-FSD-2024-2054</t>
        </is>
      </c>
      <c r="B59" s="41" t="n">
        <v>45451</v>
      </c>
      <c r="C59" s="15" t="inlineStr">
        <is>
          <t>Faisalabad</t>
        </is>
      </c>
      <c r="D59" s="15" t="inlineStr">
        <is>
          <t>Central</t>
        </is>
      </c>
      <c r="E59" s="15" t="inlineStr">
        <is>
          <t>Engineering</t>
        </is>
      </c>
      <c r="F59" s="15" t="inlineStr">
        <is>
          <t>Agency</t>
        </is>
      </c>
      <c r="G59" s="15" t="inlineStr">
        <is>
          <t>Amna Zubair</t>
        </is>
      </c>
      <c r="H59" s="15" t="inlineStr">
        <is>
          <t>Corporate</t>
        </is>
      </c>
      <c r="I59" s="14" t="n">
        <v>72000000</v>
      </c>
      <c r="J59" s="14" t="n">
        <v>439500</v>
      </c>
      <c r="K59" s="14" t="n">
        <v>142358</v>
      </c>
      <c r="L59" s="14" t="n">
        <v>1</v>
      </c>
      <c r="M59" s="15" t="inlineStr">
        <is>
          <t>Lapsed</t>
        </is>
      </c>
    </row>
    <row r="60">
      <c r="A60" s="7" t="inlineStr">
        <is>
          <t>ADM-FIR-MUL-2024-2055</t>
        </is>
      </c>
      <c r="B60" s="40" t="n">
        <v>45488</v>
      </c>
      <c r="C60" s="7" t="inlineStr">
        <is>
          <t>Multan</t>
        </is>
      </c>
      <c r="D60" s="7" t="inlineStr">
        <is>
          <t>Central</t>
        </is>
      </c>
      <c r="E60" s="7" t="inlineStr">
        <is>
          <t>Fire &amp; Property</t>
        </is>
      </c>
      <c r="F60" s="7" t="inlineStr">
        <is>
          <t>Bancassurance</t>
        </is>
      </c>
      <c r="G60" s="7" t="inlineStr">
        <is>
          <t>Rizwan Ali Soomro</t>
        </is>
      </c>
      <c r="H60" s="7" t="inlineStr">
        <is>
          <t>Individual</t>
        </is>
      </c>
      <c r="I60" s="11" t="n">
        <v>72000000</v>
      </c>
      <c r="J60" s="11" t="n">
        <v>1904500</v>
      </c>
      <c r="K60" s="11" t="n">
        <v>2127168</v>
      </c>
      <c r="L60" s="11" t="n">
        <v>1</v>
      </c>
      <c r="M60" s="7" t="inlineStr">
        <is>
          <t>Cancelled</t>
        </is>
      </c>
    </row>
    <row r="61">
      <c r="A61" s="15" t="inlineStr">
        <is>
          <t>ADM-TRV-PEW-2024-2056</t>
        </is>
      </c>
      <c r="B61" s="41" t="n">
        <v>45526</v>
      </c>
      <c r="C61" s="15" t="inlineStr">
        <is>
          <t>Peshawar</t>
        </is>
      </c>
      <c r="D61" s="15" t="inlineStr">
        <is>
          <t>North</t>
        </is>
      </c>
      <c r="E61" s="15" t="inlineStr">
        <is>
          <t>Travel</t>
        </is>
      </c>
      <c r="F61" s="15" t="inlineStr">
        <is>
          <t>Corporate</t>
        </is>
      </c>
      <c r="G61" s="15" t="inlineStr">
        <is>
          <t>Farhan Dar</t>
        </is>
      </c>
      <c r="H61" s="15" t="inlineStr">
        <is>
          <t>Corporate</t>
        </is>
      </c>
      <c r="I61" s="14" t="n">
        <v>72000000</v>
      </c>
      <c r="J61" s="14" t="n">
        <v>2216000</v>
      </c>
      <c r="K61" s="14" t="n">
        <v>844750</v>
      </c>
      <c r="L61" s="14" t="n">
        <v>1</v>
      </c>
      <c r="M61" s="15" t="inlineStr">
        <is>
          <t>Active</t>
        </is>
      </c>
    </row>
    <row r="62">
      <c r="A62" s="7" t="inlineStr">
        <is>
          <t>ADM-MTR-QTA-2024-2057</t>
        </is>
      </c>
      <c r="B62" s="40" t="n">
        <v>45536</v>
      </c>
      <c r="C62" s="7" t="inlineStr">
        <is>
          <t>Quetta</t>
        </is>
      </c>
      <c r="D62" s="7" t="inlineStr">
        <is>
          <t>South</t>
        </is>
      </c>
      <c r="E62" s="7" t="inlineStr">
        <is>
          <t>Motor</t>
        </is>
      </c>
      <c r="F62" s="7" t="inlineStr">
        <is>
          <t>Direct</t>
        </is>
      </c>
      <c r="G62" s="7" t="inlineStr">
        <is>
          <t>Sobia Naz</t>
        </is>
      </c>
      <c r="H62" s="7" t="inlineStr">
        <is>
          <t>Corporate</t>
        </is>
      </c>
      <c r="I62" s="11" t="n">
        <v>6800000</v>
      </c>
      <c r="J62" s="11" t="n">
        <v>205000</v>
      </c>
      <c r="K62" s="11" t="n">
        <v>340836</v>
      </c>
      <c r="L62" s="11" t="n">
        <v>1</v>
      </c>
      <c r="M62" s="7" t="inlineStr">
        <is>
          <t>Active</t>
        </is>
      </c>
    </row>
    <row r="63">
      <c r="A63" s="15" t="inlineStr">
        <is>
          <t>ADM-HLT-HYD-2024-2058</t>
        </is>
      </c>
      <c r="B63" s="41" t="n">
        <v>45573</v>
      </c>
      <c r="C63" s="15" t="inlineStr">
        <is>
          <t>Hyderabad</t>
        </is>
      </c>
      <c r="D63" s="15" t="inlineStr">
        <is>
          <t>South</t>
        </is>
      </c>
      <c r="E63" s="15" t="inlineStr">
        <is>
          <t>Health</t>
        </is>
      </c>
      <c r="F63" s="15" t="inlineStr">
        <is>
          <t>Agency</t>
        </is>
      </c>
      <c r="G63" s="15" t="inlineStr">
        <is>
          <t>Junaid Akram</t>
        </is>
      </c>
      <c r="H63" s="15" t="inlineStr">
        <is>
          <t>Individual</t>
        </is>
      </c>
      <c r="I63" s="14" t="n">
        <v>47000000</v>
      </c>
      <c r="J63" s="14" t="n">
        <v>625000</v>
      </c>
      <c r="K63" s="14" t="n">
        <v>389202</v>
      </c>
      <c r="L63" s="14" t="n">
        <v>1</v>
      </c>
      <c r="M63" s="15" t="inlineStr">
        <is>
          <t>Renewed</t>
        </is>
      </c>
    </row>
    <row r="64">
      <c r="A64" s="7" t="inlineStr">
        <is>
          <t>ADM-MSC-SKT-2024-2059</t>
        </is>
      </c>
      <c r="B64" s="40" t="n">
        <v>45611</v>
      </c>
      <c r="C64" s="7" t="inlineStr">
        <is>
          <t>Sialkot</t>
        </is>
      </c>
      <c r="D64" s="7" t="inlineStr">
        <is>
          <t>Central</t>
        </is>
      </c>
      <c r="E64" s="7" t="inlineStr">
        <is>
          <t>Miscellaneous</t>
        </is>
      </c>
      <c r="F64" s="7" t="inlineStr">
        <is>
          <t>Bancassurance</t>
        </is>
      </c>
      <c r="G64" s="7" t="inlineStr">
        <is>
          <t>Hamid Raza</t>
        </is>
      </c>
      <c r="H64" s="7" t="inlineStr">
        <is>
          <t>Corporate</t>
        </is>
      </c>
      <c r="I64" s="11" t="n">
        <v>28000000</v>
      </c>
      <c r="J64" s="11" t="n">
        <v>848100</v>
      </c>
      <c r="K64" s="11" t="n">
        <v>1353456</v>
      </c>
      <c r="L64" s="11" t="n">
        <v>1</v>
      </c>
      <c r="M64" s="7" t="inlineStr">
        <is>
          <t>Lapsed</t>
        </is>
      </c>
    </row>
    <row r="65">
      <c r="A65" s="15" t="inlineStr">
        <is>
          <t>ADM-MAR-RWP-2024-2060</t>
        </is>
      </c>
      <c r="B65" s="41" t="n">
        <v>45648</v>
      </c>
      <c r="C65" s="15" t="inlineStr">
        <is>
          <t>Rawalpindi</t>
        </is>
      </c>
      <c r="D65" s="15" t="inlineStr">
        <is>
          <t>North</t>
        </is>
      </c>
      <c r="E65" s="15" t="inlineStr">
        <is>
          <t>Marine Cargo</t>
        </is>
      </c>
      <c r="F65" s="15" t="inlineStr">
        <is>
          <t>Corporate</t>
        </is>
      </c>
      <c r="G65" s="15" t="inlineStr">
        <is>
          <t>Nimra Saleem</t>
        </is>
      </c>
      <c r="H65" s="15" t="inlineStr">
        <is>
          <t>Corporate</t>
        </is>
      </c>
      <c r="I65" s="14" t="n">
        <v>19000000</v>
      </c>
      <c r="J65" s="14" t="n">
        <v>293100</v>
      </c>
      <c r="K65" s="14" t="n">
        <v>355754</v>
      </c>
      <c r="L65" s="14" t="n">
        <v>1</v>
      </c>
      <c r="M65" s="15" t="inlineStr">
        <is>
          <t>Cancelled</t>
        </is>
      </c>
    </row>
    <row r="66">
      <c r="A66" s="7" t="inlineStr">
        <is>
          <t>ADM-ENG-KHI-2024-2061</t>
        </is>
      </c>
      <c r="B66" s="40" t="n">
        <v>45292</v>
      </c>
      <c r="C66" s="7" t="inlineStr">
        <is>
          <t>Karachi Main</t>
        </is>
      </c>
      <c r="D66" s="7" t="inlineStr">
        <is>
          <t>South</t>
        </is>
      </c>
      <c r="E66" s="7" t="inlineStr">
        <is>
          <t>Engineering</t>
        </is>
      </c>
      <c r="F66" s="7" t="inlineStr">
        <is>
          <t>Direct</t>
        </is>
      </c>
      <c r="G66" s="7" t="inlineStr">
        <is>
          <t>Tariq Jameel</t>
        </is>
      </c>
      <c r="H66" s="7" t="inlineStr">
        <is>
          <t>Individual</t>
        </is>
      </c>
      <c r="I66" s="11" t="n">
        <v>3400000</v>
      </c>
      <c r="J66" s="11" t="n">
        <v>99500</v>
      </c>
      <c r="K66" s="11" t="n">
        <v>58895</v>
      </c>
      <c r="L66" s="11" t="n">
        <v>1</v>
      </c>
      <c r="M66" s="7" t="inlineStr">
        <is>
          <t>Active</t>
        </is>
      </c>
    </row>
    <row r="67">
      <c r="A67" s="15" t="inlineStr">
        <is>
          <t>ADM-FIR-LHR-2024-2062</t>
        </is>
      </c>
      <c r="B67" s="41" t="n">
        <v>45330</v>
      </c>
      <c r="C67" s="15" t="inlineStr">
        <is>
          <t>Lahore Gulberg</t>
        </is>
      </c>
      <c r="D67" s="15" t="inlineStr">
        <is>
          <t>Central</t>
        </is>
      </c>
      <c r="E67" s="15" t="inlineStr">
        <is>
          <t>Fire &amp; Property</t>
        </is>
      </c>
      <c r="F67" s="15" t="inlineStr">
        <is>
          <t>Agency</t>
        </is>
      </c>
      <c r="G67" s="15" t="inlineStr">
        <is>
          <t>Nadia Hassan</t>
        </is>
      </c>
      <c r="H67" s="15" t="inlineStr">
        <is>
          <t>Corporate</t>
        </is>
      </c>
      <c r="I67" s="14" t="n">
        <v>72000000</v>
      </c>
      <c r="J67" s="14" t="n">
        <v>482300</v>
      </c>
      <c r="K67" s="14" t="n">
        <v>734148</v>
      </c>
      <c r="L67" s="14" t="n">
        <v>1</v>
      </c>
      <c r="M67" s="15" t="inlineStr">
        <is>
          <t>Active</t>
        </is>
      </c>
    </row>
    <row r="68">
      <c r="A68" s="7" t="inlineStr">
        <is>
          <t>ADM-TRV-ISB-2024-2063</t>
        </is>
      </c>
      <c r="B68" s="40" t="n">
        <v>45366</v>
      </c>
      <c r="C68" s="7" t="inlineStr">
        <is>
          <t>Islamabad Blue Area</t>
        </is>
      </c>
      <c r="D68" s="7" t="inlineStr">
        <is>
          <t>North</t>
        </is>
      </c>
      <c r="E68" s="7" t="inlineStr">
        <is>
          <t>Travel</t>
        </is>
      </c>
      <c r="F68" s="7" t="inlineStr">
        <is>
          <t>Bancassurance</t>
        </is>
      </c>
      <c r="G68" s="7" t="inlineStr">
        <is>
          <t>Salman Shah</t>
        </is>
      </c>
      <c r="H68" s="7" t="inlineStr">
        <is>
          <t>Corporate</t>
        </is>
      </c>
      <c r="I68" s="11" t="n">
        <v>47000000</v>
      </c>
      <c r="J68" s="11" t="n">
        <v>829800</v>
      </c>
      <c r="K68" s="11" t="n">
        <v>459043</v>
      </c>
      <c r="L68" s="11" t="n">
        <v>1</v>
      </c>
      <c r="M68" s="7" t="inlineStr">
        <is>
          <t>Renewed</t>
        </is>
      </c>
    </row>
    <row r="69">
      <c r="A69" s="15" t="inlineStr">
        <is>
          <t>ADM-MTR-FSD-2024-2064</t>
        </is>
      </c>
      <c r="B69" s="41" t="n">
        <v>45404</v>
      </c>
      <c r="C69" s="15" t="inlineStr">
        <is>
          <t>Faisalabad</t>
        </is>
      </c>
      <c r="D69" s="15" t="inlineStr">
        <is>
          <t>Central</t>
        </is>
      </c>
      <c r="E69" s="15" t="inlineStr">
        <is>
          <t>Motor</t>
        </is>
      </c>
      <c r="F69" s="15" t="inlineStr">
        <is>
          <t>Corporate</t>
        </is>
      </c>
      <c r="G69" s="15" t="inlineStr">
        <is>
          <t>Komal Bashir</t>
        </is>
      </c>
      <c r="H69" s="15" t="inlineStr">
        <is>
          <t>Individual</t>
        </is>
      </c>
      <c r="I69" s="14" t="n">
        <v>72000000</v>
      </c>
      <c r="J69" s="14" t="n">
        <v>1006900</v>
      </c>
      <c r="K69" s="14" t="n">
        <v>107807</v>
      </c>
      <c r="L69" s="14" t="n">
        <v>1</v>
      </c>
      <c r="M69" s="15" t="inlineStr">
        <is>
          <t>Lapsed</t>
        </is>
      </c>
    </row>
    <row r="70">
      <c r="A70" s="7" t="inlineStr">
        <is>
          <t>ADM-HLT-MUL-2024-2065</t>
        </is>
      </c>
      <c r="B70" s="40" t="n">
        <v>45413</v>
      </c>
      <c r="C70" s="7" t="inlineStr">
        <is>
          <t>Multan</t>
        </is>
      </c>
      <c r="D70" s="7" t="inlineStr">
        <is>
          <t>Central</t>
        </is>
      </c>
      <c r="E70" s="7" t="inlineStr">
        <is>
          <t>Health</t>
        </is>
      </c>
      <c r="F70" s="7" t="inlineStr">
        <is>
          <t>Direct</t>
        </is>
      </c>
      <c r="G70" s="7" t="inlineStr">
        <is>
          <t>Waqar Younis Khan</t>
        </is>
      </c>
      <c r="H70" s="7" t="inlineStr">
        <is>
          <t>Corporate</t>
        </is>
      </c>
      <c r="I70" s="11" t="n">
        <v>1200000</v>
      </c>
      <c r="J70" s="11" t="n">
        <v>36500</v>
      </c>
      <c r="K70" s="11" t="n">
        <v>53071</v>
      </c>
      <c r="L70" s="11" t="n">
        <v>1</v>
      </c>
      <c r="M70" s="7" t="inlineStr">
        <is>
          <t>Cancelled</t>
        </is>
      </c>
    </row>
    <row r="71">
      <c r="A71" s="15" t="inlineStr">
        <is>
          <t>ADM-MSC-PEW-2024-2066</t>
        </is>
      </c>
      <c r="B71" s="41" t="n">
        <v>45451</v>
      </c>
      <c r="C71" s="15" t="inlineStr">
        <is>
          <t>Peshawar</t>
        </is>
      </c>
      <c r="D71" s="15" t="inlineStr">
        <is>
          <t>North</t>
        </is>
      </c>
      <c r="E71" s="15" t="inlineStr">
        <is>
          <t>Miscellaneous</t>
        </is>
      </c>
      <c r="F71" s="15" t="inlineStr">
        <is>
          <t>Agency</t>
        </is>
      </c>
      <c r="G71" s="15" t="inlineStr">
        <is>
          <t>Amna Zubair</t>
        </is>
      </c>
      <c r="H71" s="15" t="inlineStr">
        <is>
          <t>Corporate</t>
        </is>
      </c>
      <c r="I71" s="14" t="n">
        <v>28000000</v>
      </c>
      <c r="J71" s="14" t="n">
        <v>489500</v>
      </c>
      <c r="K71" s="14" t="n">
        <v>196838</v>
      </c>
      <c r="L71" s="14" t="n">
        <v>1</v>
      </c>
      <c r="M71" s="15" t="inlineStr">
        <is>
          <t>Active</t>
        </is>
      </c>
    </row>
    <row r="72">
      <c r="A72" s="7" t="inlineStr">
        <is>
          <t>ADM-MAR-QTA-2024-2067</t>
        </is>
      </c>
      <c r="B72" s="40" t="n">
        <v>45488</v>
      </c>
      <c r="C72" s="7" t="inlineStr">
        <is>
          <t>Quetta</t>
        </is>
      </c>
      <c r="D72" s="7" t="inlineStr">
        <is>
          <t>South</t>
        </is>
      </c>
      <c r="E72" s="7" t="inlineStr">
        <is>
          <t>Marine Cargo</t>
        </is>
      </c>
      <c r="F72" s="7" t="inlineStr">
        <is>
          <t>Bancassurance</t>
        </is>
      </c>
      <c r="G72" s="7" t="inlineStr">
        <is>
          <t>Rizwan Ali Soomro</t>
        </is>
      </c>
      <c r="H72" s="7" t="inlineStr">
        <is>
          <t>Individual</t>
        </is>
      </c>
      <c r="I72" s="11" t="n">
        <v>3400000</v>
      </c>
      <c r="J72" s="11" t="n">
        <v>24200</v>
      </c>
      <c r="K72" s="11" t="n">
        <v>1580</v>
      </c>
      <c r="L72" s="11" t="n">
        <v>1</v>
      </c>
      <c r="M72" s="7" t="inlineStr">
        <is>
          <t>Active</t>
        </is>
      </c>
    </row>
    <row r="73">
      <c r="A73" s="15" t="inlineStr">
        <is>
          <t>ADM-ENG-HYD-2024-2068</t>
        </is>
      </c>
      <c r="B73" s="41" t="n">
        <v>45526</v>
      </c>
      <c r="C73" s="15" t="inlineStr">
        <is>
          <t>Hyderabad</t>
        </is>
      </c>
      <c r="D73" s="15" t="inlineStr">
        <is>
          <t>South</t>
        </is>
      </c>
      <c r="E73" s="15" t="inlineStr">
        <is>
          <t>Engineering</t>
        </is>
      </c>
      <c r="F73" s="15" t="inlineStr">
        <is>
          <t>Corporate</t>
        </is>
      </c>
      <c r="G73" s="15" t="inlineStr">
        <is>
          <t>Farhan Dar</t>
        </is>
      </c>
      <c r="H73" s="15" t="inlineStr">
        <is>
          <t>Corporate</t>
        </is>
      </c>
      <c r="I73" s="14" t="n">
        <v>28000000</v>
      </c>
      <c r="J73" s="14" t="n">
        <v>517500</v>
      </c>
      <c r="K73" s="14" t="n">
        <v>652081</v>
      </c>
      <c r="L73" s="14" t="n">
        <v>1</v>
      </c>
      <c r="M73" s="15" t="inlineStr">
        <is>
          <t>Renewed</t>
        </is>
      </c>
    </row>
    <row r="74">
      <c r="A74" s="7" t="inlineStr">
        <is>
          <t>ADM-FIR-SKT-2024-2069</t>
        </is>
      </c>
      <c r="B74" s="40" t="n">
        <v>45536</v>
      </c>
      <c r="C74" s="7" t="inlineStr">
        <is>
          <t>Sialkot</t>
        </is>
      </c>
      <c r="D74" s="7" t="inlineStr">
        <is>
          <t>Central</t>
        </is>
      </c>
      <c r="E74" s="7" t="inlineStr">
        <is>
          <t>Fire &amp; Property</t>
        </is>
      </c>
      <c r="F74" s="7" t="inlineStr">
        <is>
          <t>Direct</t>
        </is>
      </c>
      <c r="G74" s="7" t="inlineStr">
        <is>
          <t>Sobia Naz</t>
        </is>
      </c>
      <c r="H74" s="7" t="inlineStr">
        <is>
          <t>Corporate</t>
        </is>
      </c>
      <c r="I74" s="11" t="n">
        <v>11500000</v>
      </c>
      <c r="J74" s="11" t="n">
        <v>88300</v>
      </c>
      <c r="K74" s="11" t="n">
        <v>136682</v>
      </c>
      <c r="L74" s="11" t="n">
        <v>1</v>
      </c>
      <c r="M74" s="7" t="inlineStr">
        <is>
          <t>Lapsed</t>
        </is>
      </c>
    </row>
    <row r="75">
      <c r="A75" s="15" t="inlineStr">
        <is>
          <t>ADM-TRV-RWP-2024-2070</t>
        </is>
      </c>
      <c r="B75" s="41" t="n">
        <v>45573</v>
      </c>
      <c r="C75" s="15" t="inlineStr">
        <is>
          <t>Rawalpindi</t>
        </is>
      </c>
      <c r="D75" s="15" t="inlineStr">
        <is>
          <t>North</t>
        </is>
      </c>
      <c r="E75" s="15" t="inlineStr">
        <is>
          <t>Travel</t>
        </is>
      </c>
      <c r="F75" s="15" t="inlineStr">
        <is>
          <t>Agency</t>
        </is>
      </c>
      <c r="G75" s="15" t="inlineStr">
        <is>
          <t>Junaid Akram</t>
        </is>
      </c>
      <c r="H75" s="15" t="inlineStr">
        <is>
          <t>Individual</t>
        </is>
      </c>
      <c r="I75" s="14" t="n">
        <v>3400000</v>
      </c>
      <c r="J75" s="14" t="n">
        <v>81700</v>
      </c>
      <c r="K75" s="14" t="n">
        <v>16624</v>
      </c>
      <c r="L75" s="14" t="n">
        <v>1</v>
      </c>
      <c r="M75" s="15" t="inlineStr">
        <is>
          <t>Cancelled</t>
        </is>
      </c>
    </row>
    <row r="76">
      <c r="A76" s="7" t="inlineStr">
        <is>
          <t>ADM-MTR-KHI-2024-2071</t>
        </is>
      </c>
      <c r="B76" s="40" t="n">
        <v>45611</v>
      </c>
      <c r="C76" s="7" t="inlineStr">
        <is>
          <t>Karachi Main</t>
        </is>
      </c>
      <c r="D76" s="7" t="inlineStr">
        <is>
          <t>South</t>
        </is>
      </c>
      <c r="E76" s="7" t="inlineStr">
        <is>
          <t>Motor</t>
        </is>
      </c>
      <c r="F76" s="7" t="inlineStr">
        <is>
          <t>Bancassurance</t>
        </is>
      </c>
      <c r="G76" s="7" t="inlineStr">
        <is>
          <t>Hamid Raza</t>
        </is>
      </c>
      <c r="H76" s="7" t="inlineStr">
        <is>
          <t>Corporate</t>
        </is>
      </c>
      <c r="I76" s="11" t="n">
        <v>28000000</v>
      </c>
      <c r="J76" s="11" t="n">
        <v>161500</v>
      </c>
      <c r="K76" s="11" t="n">
        <v>16054</v>
      </c>
      <c r="L76" s="11" t="n">
        <v>1</v>
      </c>
      <c r="M76" s="7" t="inlineStr">
        <is>
          <t>Active</t>
        </is>
      </c>
    </row>
    <row r="77">
      <c r="A77" s="15" t="inlineStr">
        <is>
          <t>ADM-HLT-LHR-2024-2072</t>
        </is>
      </c>
      <c r="B77" s="41" t="n">
        <v>45648</v>
      </c>
      <c r="C77" s="15" t="inlineStr">
        <is>
          <t>Lahore Gulberg</t>
        </is>
      </c>
      <c r="D77" s="15" t="inlineStr">
        <is>
          <t>Central</t>
        </is>
      </c>
      <c r="E77" s="15" t="inlineStr">
        <is>
          <t>Health</t>
        </is>
      </c>
      <c r="F77" s="15" t="inlineStr">
        <is>
          <t>Corporate</t>
        </is>
      </c>
      <c r="G77" s="15" t="inlineStr">
        <is>
          <t>Nimra Saleem</t>
        </is>
      </c>
      <c r="H77" s="15" t="inlineStr">
        <is>
          <t>Corporate</t>
        </is>
      </c>
      <c r="I77" s="14" t="n">
        <v>19000000</v>
      </c>
      <c r="J77" s="14" t="n">
        <v>564300</v>
      </c>
      <c r="K77" s="14" t="n">
        <v>295386</v>
      </c>
      <c r="L77" s="14" t="n">
        <v>1</v>
      </c>
      <c r="M77" s="15" t="inlineStr">
        <is>
          <t>Active</t>
        </is>
      </c>
    </row>
    <row r="78">
      <c r="A78" s="7" t="inlineStr">
        <is>
          <t>ADM-MSC-ISB-2024-2073</t>
        </is>
      </c>
      <c r="B78" s="40" t="n">
        <v>45292</v>
      </c>
      <c r="C78" s="7" t="inlineStr">
        <is>
          <t>Islamabad Blue Area</t>
        </is>
      </c>
      <c r="D78" s="7" t="inlineStr">
        <is>
          <t>North</t>
        </is>
      </c>
      <c r="E78" s="7" t="inlineStr">
        <is>
          <t>Miscellaneous</t>
        </is>
      </c>
      <c r="F78" s="7" t="inlineStr">
        <is>
          <t>Direct</t>
        </is>
      </c>
      <c r="G78" s="7" t="inlineStr">
        <is>
          <t>Tariq Jameel</t>
        </is>
      </c>
      <c r="H78" s="7" t="inlineStr">
        <is>
          <t>Individual</t>
        </is>
      </c>
      <c r="I78" s="11" t="n">
        <v>47000000</v>
      </c>
      <c r="J78" s="11" t="n">
        <v>817800</v>
      </c>
      <c r="K78" s="11" t="n">
        <v>1386052</v>
      </c>
      <c r="L78" s="11" t="n">
        <v>1</v>
      </c>
      <c r="M78" s="7" t="inlineStr">
        <is>
          <t>Renewed</t>
        </is>
      </c>
    </row>
    <row r="79">
      <c r="A79" s="15" t="inlineStr">
        <is>
          <t>ADM-MAR-FSD-2024-2074</t>
        </is>
      </c>
      <c r="B79" s="41" t="n">
        <v>45330</v>
      </c>
      <c r="C79" s="15" t="inlineStr">
        <is>
          <t>Faisalabad</t>
        </is>
      </c>
      <c r="D79" s="15" t="inlineStr">
        <is>
          <t>Central</t>
        </is>
      </c>
      <c r="E79" s="15" t="inlineStr">
        <is>
          <t>Marine Cargo</t>
        </is>
      </c>
      <c r="F79" s="15" t="inlineStr">
        <is>
          <t>Agency</t>
        </is>
      </c>
      <c r="G79" s="15" t="inlineStr">
        <is>
          <t>Nadia Hassan</t>
        </is>
      </c>
      <c r="H79" s="15" t="inlineStr">
        <is>
          <t>Corporate</t>
        </is>
      </c>
      <c r="I79" s="14" t="n">
        <v>47000000</v>
      </c>
      <c r="J79" s="14" t="n">
        <v>809700</v>
      </c>
      <c r="K79" s="14" t="n">
        <v>1107509</v>
      </c>
      <c r="L79" s="14" t="n">
        <v>1</v>
      </c>
      <c r="M79" s="15" t="inlineStr">
        <is>
          <t>Lapsed</t>
        </is>
      </c>
    </row>
    <row r="80">
      <c r="A80" s="7" t="inlineStr">
        <is>
          <t>ADM-ENG-MUL-2024-2075</t>
        </is>
      </c>
      <c r="B80" s="40" t="n">
        <v>45366</v>
      </c>
      <c r="C80" s="7" t="inlineStr">
        <is>
          <t>Multan</t>
        </is>
      </c>
      <c r="D80" s="7" t="inlineStr">
        <is>
          <t>Central</t>
        </is>
      </c>
      <c r="E80" s="7" t="inlineStr">
        <is>
          <t>Engineering</t>
        </is>
      </c>
      <c r="F80" s="7" t="inlineStr">
        <is>
          <t>Bancassurance</t>
        </is>
      </c>
      <c r="G80" s="7" t="inlineStr">
        <is>
          <t>Salman Shah</t>
        </is>
      </c>
      <c r="H80" s="7" t="inlineStr">
        <is>
          <t>Corporate</t>
        </is>
      </c>
      <c r="I80" s="11" t="n">
        <v>28000000</v>
      </c>
      <c r="J80" s="11" t="n">
        <v>314100</v>
      </c>
      <c r="K80" s="11" t="n">
        <v>530669</v>
      </c>
      <c r="L80" s="11" t="n">
        <v>1</v>
      </c>
      <c r="M80" s="7" t="inlineStr">
        <is>
          <t>Cancelled</t>
        </is>
      </c>
    </row>
    <row r="81">
      <c r="A81" s="15" t="inlineStr">
        <is>
          <t>ADM-FIR-PEW-2024-2076</t>
        </is>
      </c>
      <c r="B81" s="41" t="n">
        <v>45404</v>
      </c>
      <c r="C81" s="15" t="inlineStr">
        <is>
          <t>Peshawar</t>
        </is>
      </c>
      <c r="D81" s="15" t="inlineStr">
        <is>
          <t>North</t>
        </is>
      </c>
      <c r="E81" s="15" t="inlineStr">
        <is>
          <t>Fire &amp; Property</t>
        </is>
      </c>
      <c r="F81" s="15" t="inlineStr">
        <is>
          <t>Corporate</t>
        </is>
      </c>
      <c r="G81" s="15" t="inlineStr">
        <is>
          <t>Komal Bashir</t>
        </is>
      </c>
      <c r="H81" s="15" t="inlineStr">
        <is>
          <t>Individual</t>
        </is>
      </c>
      <c r="I81" s="14" t="n">
        <v>3400000</v>
      </c>
      <c r="J81" s="14" t="n">
        <v>56300</v>
      </c>
      <c r="K81" s="14" t="n">
        <v>84054</v>
      </c>
      <c r="L81" s="14" t="n">
        <v>1</v>
      </c>
      <c r="M81" s="15" t="inlineStr">
        <is>
          <t>Active</t>
        </is>
      </c>
    </row>
    <row r="82">
      <c r="A82" s="7" t="inlineStr">
        <is>
          <t>ADM-TRV-QTA-2024-2077</t>
        </is>
      </c>
      <c r="B82" s="40" t="n">
        <v>45413</v>
      </c>
      <c r="C82" s="7" t="inlineStr">
        <is>
          <t>Quetta</t>
        </is>
      </c>
      <c r="D82" s="7" t="inlineStr">
        <is>
          <t>South</t>
        </is>
      </c>
      <c r="E82" s="7" t="inlineStr">
        <is>
          <t>Travel</t>
        </is>
      </c>
      <c r="F82" s="7" t="inlineStr">
        <is>
          <t>Direct</t>
        </is>
      </c>
      <c r="G82" s="7" t="inlineStr">
        <is>
          <t>Waqar Younis Khan</t>
        </is>
      </c>
      <c r="H82" s="7" t="inlineStr">
        <is>
          <t>Corporate</t>
        </is>
      </c>
      <c r="I82" s="11" t="n">
        <v>1200000</v>
      </c>
      <c r="J82" s="11" t="n">
        <v>20700</v>
      </c>
      <c r="K82" s="11" t="n">
        <v>4341</v>
      </c>
      <c r="L82" s="11" t="n">
        <v>1</v>
      </c>
      <c r="M82" s="7" t="inlineStr">
        <is>
          <t>Active</t>
        </is>
      </c>
    </row>
    <row r="83">
      <c r="A83" s="15" t="inlineStr">
        <is>
          <t>ADM-MTR-HYD-2024-2078</t>
        </is>
      </c>
      <c r="B83" s="41" t="n">
        <v>45451</v>
      </c>
      <c r="C83" s="15" t="inlineStr">
        <is>
          <t>Hyderabad</t>
        </is>
      </c>
      <c r="D83" s="15" t="inlineStr">
        <is>
          <t>South</t>
        </is>
      </c>
      <c r="E83" s="15" t="inlineStr">
        <is>
          <t>Motor</t>
        </is>
      </c>
      <c r="F83" s="15" t="inlineStr">
        <is>
          <t>Agency</t>
        </is>
      </c>
      <c r="G83" s="15" t="inlineStr">
        <is>
          <t>Amna Zubair</t>
        </is>
      </c>
      <c r="H83" s="15" t="inlineStr">
        <is>
          <t>Corporate</t>
        </is>
      </c>
      <c r="I83" s="14" t="n">
        <v>1200000</v>
      </c>
      <c r="J83" s="14" t="n">
        <v>11300</v>
      </c>
      <c r="K83" s="14" t="n">
        <v>14476</v>
      </c>
      <c r="L83" s="14" t="n">
        <v>1</v>
      </c>
      <c r="M83" s="15" t="inlineStr">
        <is>
          <t>Renewed</t>
        </is>
      </c>
    </row>
    <row r="84">
      <c r="A84" s="7" t="inlineStr">
        <is>
          <t>ADM-HLT-SKT-2024-2079</t>
        </is>
      </c>
      <c r="B84" s="40" t="n">
        <v>45488</v>
      </c>
      <c r="C84" s="7" t="inlineStr">
        <is>
          <t>Sialkot</t>
        </is>
      </c>
      <c r="D84" s="7" t="inlineStr">
        <is>
          <t>Central</t>
        </is>
      </c>
      <c r="E84" s="7" t="inlineStr">
        <is>
          <t>Health</t>
        </is>
      </c>
      <c r="F84" s="7" t="inlineStr">
        <is>
          <t>Bancassurance</t>
        </is>
      </c>
      <c r="G84" s="7" t="inlineStr">
        <is>
          <t>Rizwan Ali Soomro</t>
        </is>
      </c>
      <c r="H84" s="7" t="inlineStr">
        <is>
          <t>Individual</t>
        </is>
      </c>
      <c r="I84" s="11" t="n">
        <v>6800000</v>
      </c>
      <c r="J84" s="11" t="n">
        <v>190700</v>
      </c>
      <c r="K84" s="11" t="n">
        <v>63087</v>
      </c>
      <c r="L84" s="11" t="n">
        <v>1</v>
      </c>
      <c r="M84" s="7" t="inlineStr">
        <is>
          <t>Lapsed</t>
        </is>
      </c>
    </row>
    <row r="85">
      <c r="A85" s="15" t="inlineStr">
        <is>
          <t>ADM-MSC-RWP-2024-2080</t>
        </is>
      </c>
      <c r="B85" s="41" t="n">
        <v>45526</v>
      </c>
      <c r="C85" s="15" t="inlineStr">
        <is>
          <t>Rawalpindi</t>
        </is>
      </c>
      <c r="D85" s="15" t="inlineStr">
        <is>
          <t>North</t>
        </is>
      </c>
      <c r="E85" s="15" t="inlineStr">
        <is>
          <t>Miscellaneous</t>
        </is>
      </c>
      <c r="F85" s="15" t="inlineStr">
        <is>
          <t>Corporate</t>
        </is>
      </c>
      <c r="G85" s="15" t="inlineStr">
        <is>
          <t>Farhan Dar</t>
        </is>
      </c>
      <c r="H85" s="15" t="inlineStr">
        <is>
          <t>Corporate</t>
        </is>
      </c>
      <c r="I85" s="14" t="n">
        <v>3400000</v>
      </c>
      <c r="J85" s="14" t="n">
        <v>48700</v>
      </c>
      <c r="K85" s="14" t="n">
        <v>21523</v>
      </c>
      <c r="L85" s="14" t="n">
        <v>1</v>
      </c>
      <c r="M85" s="15" t="inlineStr">
        <is>
          <t>Cancelled</t>
        </is>
      </c>
    </row>
    <row r="86">
      <c r="A86" s="7" t="inlineStr">
        <is>
          <t>ADM-MAR-KHI-2024-2081</t>
        </is>
      </c>
      <c r="B86" s="40" t="n">
        <v>45536</v>
      </c>
      <c r="C86" s="7" t="inlineStr">
        <is>
          <t>Karachi Main</t>
        </is>
      </c>
      <c r="D86" s="7" t="inlineStr">
        <is>
          <t>South</t>
        </is>
      </c>
      <c r="E86" s="7" t="inlineStr">
        <is>
          <t>Marine Cargo</t>
        </is>
      </c>
      <c r="F86" s="7" t="inlineStr">
        <is>
          <t>Direct</t>
        </is>
      </c>
      <c r="G86" s="7" t="inlineStr">
        <is>
          <t>Sobia Naz</t>
        </is>
      </c>
      <c r="H86" s="7" t="inlineStr">
        <is>
          <t>Corporate</t>
        </is>
      </c>
      <c r="I86" s="11" t="n">
        <v>47000000</v>
      </c>
      <c r="J86" s="11" t="n">
        <v>237300</v>
      </c>
      <c r="K86" s="11" t="n">
        <v>327198</v>
      </c>
      <c r="L86" s="11" t="n">
        <v>1</v>
      </c>
      <c r="M86" s="7" t="inlineStr">
        <is>
          <t>Active</t>
        </is>
      </c>
    </row>
    <row r="87">
      <c r="A87" s="15" t="inlineStr">
        <is>
          <t>ADM-ENG-LHR-2024-2082</t>
        </is>
      </c>
      <c r="B87" s="41" t="n">
        <v>45573</v>
      </c>
      <c r="C87" s="15" t="inlineStr">
        <is>
          <t>Lahore Gulberg</t>
        </is>
      </c>
      <c r="D87" s="15" t="inlineStr">
        <is>
          <t>Central</t>
        </is>
      </c>
      <c r="E87" s="15" t="inlineStr">
        <is>
          <t>Engineering</t>
        </is>
      </c>
      <c r="F87" s="15" t="inlineStr">
        <is>
          <t>Agency</t>
        </is>
      </c>
      <c r="G87" s="15" t="inlineStr">
        <is>
          <t>Junaid Akram</t>
        </is>
      </c>
      <c r="H87" s="15" t="inlineStr">
        <is>
          <t>Individual</t>
        </is>
      </c>
      <c r="I87" s="14" t="n">
        <v>72000000</v>
      </c>
      <c r="J87" s="14" t="n">
        <v>1764300</v>
      </c>
      <c r="K87" s="14" t="n">
        <v>1315665</v>
      </c>
      <c r="L87" s="14" t="n">
        <v>1</v>
      </c>
      <c r="M87" s="15" t="inlineStr">
        <is>
          <t>Active</t>
        </is>
      </c>
    </row>
    <row r="88">
      <c r="A88" s="7" t="inlineStr">
        <is>
          <t>ADM-FIR-ISB-2024-2083</t>
        </is>
      </c>
      <c r="B88" s="40" t="n">
        <v>45611</v>
      </c>
      <c r="C88" s="7" t="inlineStr">
        <is>
          <t>Islamabad Blue Area</t>
        </is>
      </c>
      <c r="D88" s="7" t="inlineStr">
        <is>
          <t>North</t>
        </is>
      </c>
      <c r="E88" s="7" t="inlineStr">
        <is>
          <t>Fire &amp; Property</t>
        </is>
      </c>
      <c r="F88" s="7" t="inlineStr">
        <is>
          <t>Bancassurance</t>
        </is>
      </c>
      <c r="G88" s="7" t="inlineStr">
        <is>
          <t>Hamid Raza</t>
        </is>
      </c>
      <c r="H88" s="7" t="inlineStr">
        <is>
          <t>Corporate</t>
        </is>
      </c>
      <c r="I88" s="11" t="n">
        <v>28000000</v>
      </c>
      <c r="J88" s="11" t="n">
        <v>406100</v>
      </c>
      <c r="K88" s="11" t="n">
        <v>201854</v>
      </c>
      <c r="L88" s="11" t="n">
        <v>1</v>
      </c>
      <c r="M88" s="7" t="inlineStr">
        <is>
          <t>Renewed</t>
        </is>
      </c>
    </row>
    <row r="89">
      <c r="A89" s="15" t="inlineStr">
        <is>
          <t>ADM-TRV-FSD-2024-2084</t>
        </is>
      </c>
      <c r="B89" s="41" t="n">
        <v>45648</v>
      </c>
      <c r="C89" s="15" t="inlineStr">
        <is>
          <t>Faisalabad</t>
        </is>
      </c>
      <c r="D89" s="15" t="inlineStr">
        <is>
          <t>Central</t>
        </is>
      </c>
      <c r="E89" s="15" t="inlineStr">
        <is>
          <t>Travel</t>
        </is>
      </c>
      <c r="F89" s="15" t="inlineStr">
        <is>
          <t>Corporate</t>
        </is>
      </c>
      <c r="G89" s="15" t="inlineStr">
        <is>
          <t>Nimra Saleem</t>
        </is>
      </c>
      <c r="H89" s="15" t="inlineStr">
        <is>
          <t>Corporate</t>
        </is>
      </c>
      <c r="I89" s="14" t="n">
        <v>11500000</v>
      </c>
      <c r="J89" s="14" t="n">
        <v>202500</v>
      </c>
      <c r="K89" s="14" t="n">
        <v>158654</v>
      </c>
      <c r="L89" s="14" t="n">
        <v>1</v>
      </c>
      <c r="M89" s="15" t="inlineStr">
        <is>
          <t>Lapsed</t>
        </is>
      </c>
    </row>
    <row r="90">
      <c r="A90" s="7" t="inlineStr">
        <is>
          <t>ADM-MTR-MUL-2024-2085</t>
        </is>
      </c>
      <c r="B90" s="40" t="n">
        <v>45292</v>
      </c>
      <c r="C90" s="7" t="inlineStr">
        <is>
          <t>Multan</t>
        </is>
      </c>
      <c r="D90" s="7" t="inlineStr">
        <is>
          <t>Central</t>
        </is>
      </c>
      <c r="E90" s="7" t="inlineStr">
        <is>
          <t>Motor</t>
        </is>
      </c>
      <c r="F90" s="7" t="inlineStr">
        <is>
          <t>Direct</t>
        </is>
      </c>
      <c r="G90" s="7" t="inlineStr">
        <is>
          <t>Tariq Jameel</t>
        </is>
      </c>
      <c r="H90" s="7" t="inlineStr">
        <is>
          <t>Individual</t>
        </is>
      </c>
      <c r="I90" s="11" t="n">
        <v>6800000</v>
      </c>
      <c r="J90" s="11" t="n">
        <v>36100</v>
      </c>
      <c r="K90" s="11" t="n">
        <v>50561</v>
      </c>
      <c r="L90" s="11" t="n">
        <v>1</v>
      </c>
      <c r="M90" s="7" t="inlineStr">
        <is>
          <t>Cancelled</t>
        </is>
      </c>
    </row>
    <row r="91">
      <c r="A91" s="15" t="inlineStr">
        <is>
          <t>ADM-HLT-PEW-2024-2086</t>
        </is>
      </c>
      <c r="B91" s="41" t="n">
        <v>45330</v>
      </c>
      <c r="C91" s="15" t="inlineStr">
        <is>
          <t>Peshawar</t>
        </is>
      </c>
      <c r="D91" s="15" t="inlineStr">
        <is>
          <t>North</t>
        </is>
      </c>
      <c r="E91" s="15" t="inlineStr">
        <is>
          <t>Health</t>
        </is>
      </c>
      <c r="F91" s="15" t="inlineStr">
        <is>
          <t>Agency</t>
        </is>
      </c>
      <c r="G91" s="15" t="inlineStr">
        <is>
          <t>Nadia Hassan</t>
        </is>
      </c>
      <c r="H91" s="15" t="inlineStr">
        <is>
          <t>Corporate</t>
        </is>
      </c>
      <c r="I91" s="14" t="n">
        <v>6800000</v>
      </c>
      <c r="J91" s="14" t="n">
        <v>140600</v>
      </c>
      <c r="K91" s="14" t="n">
        <v>238796</v>
      </c>
      <c r="L91" s="14" t="n">
        <v>1</v>
      </c>
      <c r="M91" s="15" t="inlineStr">
        <is>
          <t>Active</t>
        </is>
      </c>
    </row>
    <row r="92">
      <c r="A92" s="7" t="inlineStr">
        <is>
          <t>ADM-MSC-QTA-2024-2087</t>
        </is>
      </c>
      <c r="B92" s="40" t="n">
        <v>45366</v>
      </c>
      <c r="C92" s="7" t="inlineStr">
        <is>
          <t>Quetta</t>
        </is>
      </c>
      <c r="D92" s="7" t="inlineStr">
        <is>
          <t>South</t>
        </is>
      </c>
      <c r="E92" s="7" t="inlineStr">
        <is>
          <t>Miscellaneous</t>
        </is>
      </c>
      <c r="F92" s="7" t="inlineStr">
        <is>
          <t>Bancassurance</t>
        </is>
      </c>
      <c r="G92" s="7" t="inlineStr">
        <is>
          <t>Salman Shah</t>
        </is>
      </c>
      <c r="H92" s="7" t="inlineStr">
        <is>
          <t>Corporate</t>
        </is>
      </c>
      <c r="I92" s="11" t="n">
        <v>19000000</v>
      </c>
      <c r="J92" s="11" t="n">
        <v>350400</v>
      </c>
      <c r="K92" s="11" t="n">
        <v>664530</v>
      </c>
      <c r="L92" s="11" t="n">
        <v>1</v>
      </c>
      <c r="M92" s="7" t="inlineStr">
        <is>
          <t>Active</t>
        </is>
      </c>
    </row>
    <row r="93">
      <c r="A93" s="15" t="inlineStr">
        <is>
          <t>ADM-MAR-HYD-2024-2088</t>
        </is>
      </c>
      <c r="B93" s="41" t="n">
        <v>45404</v>
      </c>
      <c r="C93" s="15" t="inlineStr">
        <is>
          <t>Hyderabad</t>
        </is>
      </c>
      <c r="D93" s="15" t="inlineStr">
        <is>
          <t>South</t>
        </is>
      </c>
      <c r="E93" s="15" t="inlineStr">
        <is>
          <t>Marine Cargo</t>
        </is>
      </c>
      <c r="F93" s="15" t="inlineStr">
        <is>
          <t>Corporate</t>
        </is>
      </c>
      <c r="G93" s="15" t="inlineStr">
        <is>
          <t>Komal Bashir</t>
        </is>
      </c>
      <c r="H93" s="15" t="inlineStr">
        <is>
          <t>Individual</t>
        </is>
      </c>
      <c r="I93" s="14" t="n">
        <v>72000000</v>
      </c>
      <c r="J93" s="14" t="n">
        <v>1685500</v>
      </c>
      <c r="K93" s="14" t="n">
        <v>1657983</v>
      </c>
      <c r="L93" s="14" t="n">
        <v>1</v>
      </c>
      <c r="M93" s="15" t="inlineStr">
        <is>
          <t>Renewed</t>
        </is>
      </c>
    </row>
    <row r="94">
      <c r="A94" s="7" t="inlineStr">
        <is>
          <t>ADM-ENG-SKT-2024-2089</t>
        </is>
      </c>
      <c r="B94" s="40" t="n">
        <v>45413</v>
      </c>
      <c r="C94" s="7" t="inlineStr">
        <is>
          <t>Sialkot</t>
        </is>
      </c>
      <c r="D94" s="7" t="inlineStr">
        <is>
          <t>Central</t>
        </is>
      </c>
      <c r="E94" s="7" t="inlineStr">
        <is>
          <t>Engineering</t>
        </is>
      </c>
      <c r="F94" s="7" t="inlineStr">
        <is>
          <t>Direct</t>
        </is>
      </c>
      <c r="G94" s="7" t="inlineStr">
        <is>
          <t>Waqar Younis Khan</t>
        </is>
      </c>
      <c r="H94" s="7" t="inlineStr">
        <is>
          <t>Corporate</t>
        </is>
      </c>
      <c r="I94" s="11" t="n">
        <v>47000000</v>
      </c>
      <c r="J94" s="11" t="n">
        <v>988500</v>
      </c>
      <c r="K94" s="11" t="n">
        <v>1297814</v>
      </c>
      <c r="L94" s="11" t="n">
        <v>1</v>
      </c>
      <c r="M94" s="7" t="inlineStr">
        <is>
          <t>Lapsed</t>
        </is>
      </c>
    </row>
    <row r="95">
      <c r="A95" s="15" t="inlineStr">
        <is>
          <t>ADM-FIR-RWP-2024-2090</t>
        </is>
      </c>
      <c r="B95" s="41" t="n">
        <v>45451</v>
      </c>
      <c r="C95" s="15" t="inlineStr">
        <is>
          <t>Rawalpindi</t>
        </is>
      </c>
      <c r="D95" s="15" t="inlineStr">
        <is>
          <t>North</t>
        </is>
      </c>
      <c r="E95" s="15" t="inlineStr">
        <is>
          <t>Fire &amp; Property</t>
        </is>
      </c>
      <c r="F95" s="15" t="inlineStr">
        <is>
          <t>Agency</t>
        </is>
      </c>
      <c r="G95" s="15" t="inlineStr">
        <is>
          <t>Amna Zubair</t>
        </is>
      </c>
      <c r="H95" s="15" t="inlineStr">
        <is>
          <t>Corporate</t>
        </is>
      </c>
      <c r="I95" s="14" t="n">
        <v>19000000</v>
      </c>
      <c r="J95" s="14" t="n">
        <v>215900</v>
      </c>
      <c r="K95" s="14" t="n">
        <v>64887</v>
      </c>
      <c r="L95" s="14" t="n">
        <v>1</v>
      </c>
      <c r="M95" s="15" t="inlineStr">
        <is>
          <t>Cancelled</t>
        </is>
      </c>
    </row>
    <row r="96">
      <c r="A96" s="7" t="inlineStr">
        <is>
          <t>ADM-TRV-KHI-2024-2091</t>
        </is>
      </c>
      <c r="B96" s="40" t="n">
        <v>45488</v>
      </c>
      <c r="C96" s="7" t="inlineStr">
        <is>
          <t>Karachi Main</t>
        </is>
      </c>
      <c r="D96" s="7" t="inlineStr">
        <is>
          <t>South</t>
        </is>
      </c>
      <c r="E96" s="7" t="inlineStr">
        <is>
          <t>Travel</t>
        </is>
      </c>
      <c r="F96" s="7" t="inlineStr">
        <is>
          <t>Bancassurance</t>
        </is>
      </c>
      <c r="G96" s="7" t="inlineStr">
        <is>
          <t>Rizwan Ali Soomro</t>
        </is>
      </c>
      <c r="H96" s="7" t="inlineStr">
        <is>
          <t>Individual</t>
        </is>
      </c>
      <c r="I96" s="11" t="n">
        <v>47000000</v>
      </c>
      <c r="J96" s="11" t="n">
        <v>268400</v>
      </c>
      <c r="K96" s="11" t="n">
        <v>149803</v>
      </c>
      <c r="L96" s="11" t="n">
        <v>1</v>
      </c>
      <c r="M96" s="7" t="inlineStr">
        <is>
          <t>Active</t>
        </is>
      </c>
    </row>
    <row r="97">
      <c r="A97" s="15" t="inlineStr">
        <is>
          <t>ADM-MTR-LHR-2024-2092</t>
        </is>
      </c>
      <c r="B97" s="41" t="n">
        <v>45526</v>
      </c>
      <c r="C97" s="15" t="inlineStr">
        <is>
          <t>Lahore Gulberg</t>
        </is>
      </c>
      <c r="D97" s="15" t="inlineStr">
        <is>
          <t>Central</t>
        </is>
      </c>
      <c r="E97" s="15" t="inlineStr">
        <is>
          <t>Motor</t>
        </is>
      </c>
      <c r="F97" s="15" t="inlineStr">
        <is>
          <t>Corporate</t>
        </is>
      </c>
      <c r="G97" s="15" t="inlineStr">
        <is>
          <t>Farhan Dar</t>
        </is>
      </c>
      <c r="H97" s="15" t="inlineStr">
        <is>
          <t>Corporate</t>
        </is>
      </c>
      <c r="I97" s="14" t="n">
        <v>47000000</v>
      </c>
      <c r="J97" s="14" t="n">
        <v>1406900</v>
      </c>
      <c r="K97" s="14" t="n">
        <v>295893</v>
      </c>
      <c r="L97" s="14" t="n">
        <v>1</v>
      </c>
      <c r="M97" s="15" t="inlineStr">
        <is>
          <t>Active</t>
        </is>
      </c>
    </row>
    <row r="98">
      <c r="A98" s="7" t="inlineStr">
        <is>
          <t>ADM-HLT-ISB-2024-2093</t>
        </is>
      </c>
      <c r="B98" s="40" t="n">
        <v>45536</v>
      </c>
      <c r="C98" s="7" t="inlineStr">
        <is>
          <t>Islamabad Blue Area</t>
        </is>
      </c>
      <c r="D98" s="7" t="inlineStr">
        <is>
          <t>North</t>
        </is>
      </c>
      <c r="E98" s="7" t="inlineStr">
        <is>
          <t>Health</t>
        </is>
      </c>
      <c r="F98" s="7" t="inlineStr">
        <is>
          <t>Direct</t>
        </is>
      </c>
      <c r="G98" s="7" t="inlineStr">
        <is>
          <t>Sobia Naz</t>
        </is>
      </c>
      <c r="H98" s="7" t="inlineStr">
        <is>
          <t>Corporate</t>
        </is>
      </c>
      <c r="I98" s="11" t="n">
        <v>19000000</v>
      </c>
      <c r="J98" s="11" t="n">
        <v>321300</v>
      </c>
      <c r="K98" s="11" t="n">
        <v>26393</v>
      </c>
      <c r="L98" s="11" t="n">
        <v>1</v>
      </c>
      <c r="M98" s="7" t="inlineStr">
        <is>
          <t>Renewed</t>
        </is>
      </c>
    </row>
    <row r="99">
      <c r="A99" s="15" t="inlineStr">
        <is>
          <t>ADM-MSC-FSD-2024-2094</t>
        </is>
      </c>
      <c r="B99" s="41" t="n">
        <v>45573</v>
      </c>
      <c r="C99" s="15" t="inlineStr">
        <is>
          <t>Faisalabad</t>
        </is>
      </c>
      <c r="D99" s="15" t="inlineStr">
        <is>
          <t>Central</t>
        </is>
      </c>
      <c r="E99" s="15" t="inlineStr">
        <is>
          <t>Miscellaneous</t>
        </is>
      </c>
      <c r="F99" s="15" t="inlineStr">
        <is>
          <t>Agency</t>
        </is>
      </c>
      <c r="G99" s="15" t="inlineStr">
        <is>
          <t>Junaid Akram</t>
        </is>
      </c>
      <c r="H99" s="15" t="inlineStr">
        <is>
          <t>Individual</t>
        </is>
      </c>
      <c r="I99" s="14" t="n">
        <v>47000000</v>
      </c>
      <c r="J99" s="14" t="n">
        <v>941400</v>
      </c>
      <c r="K99" s="14" t="n">
        <v>1091541</v>
      </c>
      <c r="L99" s="14" t="n">
        <v>1</v>
      </c>
      <c r="M99" s="15" t="inlineStr">
        <is>
          <t>Lapsed</t>
        </is>
      </c>
    </row>
    <row r="100">
      <c r="A100" s="7" t="inlineStr">
        <is>
          <t>ADM-MAR-MUL-2024-2095</t>
        </is>
      </c>
      <c r="B100" s="40" t="n">
        <v>45611</v>
      </c>
      <c r="C100" s="7" t="inlineStr">
        <is>
          <t>Multan</t>
        </is>
      </c>
      <c r="D100" s="7" t="inlineStr">
        <is>
          <t>Central</t>
        </is>
      </c>
      <c r="E100" s="7" t="inlineStr">
        <is>
          <t>Marine Cargo</t>
        </is>
      </c>
      <c r="F100" s="7" t="inlineStr">
        <is>
          <t>Bancassurance</t>
        </is>
      </c>
      <c r="G100" s="7" t="inlineStr">
        <is>
          <t>Hamid Raza</t>
        </is>
      </c>
      <c r="H100" s="7" t="inlineStr">
        <is>
          <t>Corporate</t>
        </is>
      </c>
      <c r="I100" s="11" t="n">
        <v>28000000</v>
      </c>
      <c r="J100" s="11" t="n">
        <v>839200</v>
      </c>
      <c r="K100" s="11" t="n">
        <v>226378</v>
      </c>
      <c r="L100" s="11" t="n">
        <v>1</v>
      </c>
      <c r="M100" s="7" t="inlineStr">
        <is>
          <t>Cancelled</t>
        </is>
      </c>
    </row>
    <row r="101">
      <c r="A101" s="15" t="inlineStr">
        <is>
          <t>ADM-ENG-PEW-2024-2096</t>
        </is>
      </c>
      <c r="B101" s="41" t="n">
        <v>45648</v>
      </c>
      <c r="C101" s="15" t="inlineStr">
        <is>
          <t>Peshawar</t>
        </is>
      </c>
      <c r="D101" s="15" t="inlineStr">
        <is>
          <t>North</t>
        </is>
      </c>
      <c r="E101" s="15" t="inlineStr">
        <is>
          <t>Engineering</t>
        </is>
      </c>
      <c r="F101" s="15" t="inlineStr">
        <is>
          <t>Corporate</t>
        </is>
      </c>
      <c r="G101" s="15" t="inlineStr">
        <is>
          <t>Nimra Saleem</t>
        </is>
      </c>
      <c r="H101" s="15" t="inlineStr">
        <is>
          <t>Corporate</t>
        </is>
      </c>
      <c r="I101" s="14" t="n">
        <v>19000000</v>
      </c>
      <c r="J101" s="14" t="n">
        <v>542800</v>
      </c>
      <c r="K101" s="14" t="n">
        <v>248383</v>
      </c>
      <c r="L101" s="14" t="n">
        <v>1</v>
      </c>
      <c r="M101" s="15" t="inlineStr">
        <is>
          <t>Active</t>
        </is>
      </c>
    </row>
    <row r="102">
      <c r="A102" s="7" t="inlineStr">
        <is>
          <t>ADM-FIR-QTA-2024-2097</t>
        </is>
      </c>
      <c r="B102" s="40" t="n">
        <v>45292</v>
      </c>
      <c r="C102" s="7" t="inlineStr">
        <is>
          <t>Quetta</t>
        </is>
      </c>
      <c r="D102" s="7" t="inlineStr">
        <is>
          <t>South</t>
        </is>
      </c>
      <c r="E102" s="7" t="inlineStr">
        <is>
          <t>Fire &amp; Property</t>
        </is>
      </c>
      <c r="F102" s="7" t="inlineStr">
        <is>
          <t>Direct</t>
        </is>
      </c>
      <c r="G102" s="7" t="inlineStr">
        <is>
          <t>Tariq Jameel</t>
        </is>
      </c>
      <c r="H102" s="7" t="inlineStr">
        <is>
          <t>Individual</t>
        </is>
      </c>
      <c r="I102" s="11" t="n">
        <v>1200000</v>
      </c>
      <c r="J102" s="11" t="n">
        <v>16300</v>
      </c>
      <c r="K102" s="11" t="n">
        <v>28348</v>
      </c>
      <c r="L102" s="11" t="n">
        <v>1</v>
      </c>
      <c r="M102" s="7" t="inlineStr">
        <is>
          <t>Active</t>
        </is>
      </c>
    </row>
    <row r="103">
      <c r="A103" s="15" t="inlineStr">
        <is>
          <t>ADM-TRV-HYD-2024-2098</t>
        </is>
      </c>
      <c r="B103" s="41" t="n">
        <v>45330</v>
      </c>
      <c r="C103" s="15" t="inlineStr">
        <is>
          <t>Hyderabad</t>
        </is>
      </c>
      <c r="D103" s="15" t="inlineStr">
        <is>
          <t>South</t>
        </is>
      </c>
      <c r="E103" s="15" t="inlineStr">
        <is>
          <t>Travel</t>
        </is>
      </c>
      <c r="F103" s="15" t="inlineStr">
        <is>
          <t>Agency</t>
        </is>
      </c>
      <c r="G103" s="15" t="inlineStr">
        <is>
          <t>Nadia Hassan</t>
        </is>
      </c>
      <c r="H103" s="15" t="inlineStr">
        <is>
          <t>Corporate</t>
        </is>
      </c>
      <c r="I103" s="14" t="n">
        <v>28000000</v>
      </c>
      <c r="J103" s="14" t="n">
        <v>753600</v>
      </c>
      <c r="K103" s="14" t="n">
        <v>624051</v>
      </c>
      <c r="L103" s="14" t="n">
        <v>1</v>
      </c>
      <c r="M103" s="15" t="inlineStr">
        <is>
          <t>Renewed</t>
        </is>
      </c>
    </row>
    <row r="104">
      <c r="A104" s="7" t="inlineStr">
        <is>
          <t>ADM-MTR-SKT-2024-2099</t>
        </is>
      </c>
      <c r="B104" s="40" t="n">
        <v>45366</v>
      </c>
      <c r="C104" s="7" t="inlineStr">
        <is>
          <t>Sialkot</t>
        </is>
      </c>
      <c r="D104" s="7" t="inlineStr">
        <is>
          <t>Central</t>
        </is>
      </c>
      <c r="E104" s="7" t="inlineStr">
        <is>
          <t>Motor</t>
        </is>
      </c>
      <c r="F104" s="7" t="inlineStr">
        <is>
          <t>Bancassurance</t>
        </is>
      </c>
      <c r="G104" s="7" t="inlineStr">
        <is>
          <t>Salman Shah</t>
        </is>
      </c>
      <c r="H104" s="7" t="inlineStr">
        <is>
          <t>Corporate</t>
        </is>
      </c>
      <c r="I104" s="11" t="n">
        <v>28000000</v>
      </c>
      <c r="J104" s="11" t="n">
        <v>858000</v>
      </c>
      <c r="K104" s="11" t="n">
        <v>710027</v>
      </c>
      <c r="L104" s="11" t="n">
        <v>1</v>
      </c>
      <c r="M104" s="7" t="inlineStr">
        <is>
          <t>Lapsed</t>
        </is>
      </c>
    </row>
    <row r="105">
      <c r="A105" s="15" t="inlineStr">
        <is>
          <t>ADM-HLT-RWP-2024-2100</t>
        </is>
      </c>
      <c r="B105" s="41" t="n">
        <v>45404</v>
      </c>
      <c r="C105" s="15" t="inlineStr">
        <is>
          <t>Rawalpindi</t>
        </is>
      </c>
      <c r="D105" s="15" t="inlineStr">
        <is>
          <t>North</t>
        </is>
      </c>
      <c r="E105" s="15" t="inlineStr">
        <is>
          <t>Health</t>
        </is>
      </c>
      <c r="F105" s="15" t="inlineStr">
        <is>
          <t>Corporate</t>
        </is>
      </c>
      <c r="G105" s="15" t="inlineStr">
        <is>
          <t>Komal Bashir</t>
        </is>
      </c>
      <c r="H105" s="15" t="inlineStr">
        <is>
          <t>Individual</t>
        </is>
      </c>
      <c r="I105" s="14" t="n">
        <v>47000000</v>
      </c>
      <c r="J105" s="14" t="n">
        <v>701000</v>
      </c>
      <c r="K105" s="14" t="n">
        <v>1038676</v>
      </c>
      <c r="L105" s="14" t="n">
        <v>1</v>
      </c>
      <c r="M105" s="15" t="inlineStr">
        <is>
          <t>Cancelled</t>
        </is>
      </c>
    </row>
    <row r="106">
      <c r="A106" s="7" t="inlineStr">
        <is>
          <t>ADM-MSC-KHI-2024-2101</t>
        </is>
      </c>
      <c r="B106" s="40" t="n">
        <v>45413</v>
      </c>
      <c r="C106" s="7" t="inlineStr">
        <is>
          <t>Karachi Main</t>
        </is>
      </c>
      <c r="D106" s="7" t="inlineStr">
        <is>
          <t>South</t>
        </is>
      </c>
      <c r="E106" s="7" t="inlineStr">
        <is>
          <t>Miscellaneous</t>
        </is>
      </c>
      <c r="F106" s="7" t="inlineStr">
        <is>
          <t>Direct</t>
        </is>
      </c>
      <c r="G106" s="7" t="inlineStr">
        <is>
          <t>Waqar Younis Khan</t>
        </is>
      </c>
      <c r="H106" s="7" t="inlineStr">
        <is>
          <t>Corporate</t>
        </is>
      </c>
      <c r="I106" s="11" t="n">
        <v>28000000</v>
      </c>
      <c r="J106" s="11" t="n">
        <v>801300</v>
      </c>
      <c r="K106" s="11" t="n">
        <v>179274</v>
      </c>
      <c r="L106" s="11" t="n">
        <v>1</v>
      </c>
      <c r="M106" s="7" t="inlineStr">
        <is>
          <t>Active</t>
        </is>
      </c>
    </row>
    <row r="107">
      <c r="A107" s="15" t="inlineStr">
        <is>
          <t>ADM-MAR-LHR-2024-2102</t>
        </is>
      </c>
      <c r="B107" s="41" t="n">
        <v>45451</v>
      </c>
      <c r="C107" s="15" t="inlineStr">
        <is>
          <t>Lahore Gulberg</t>
        </is>
      </c>
      <c r="D107" s="15" t="inlineStr">
        <is>
          <t>Central</t>
        </is>
      </c>
      <c r="E107" s="15" t="inlineStr">
        <is>
          <t>Marine Cargo</t>
        </is>
      </c>
      <c r="F107" s="15" t="inlineStr">
        <is>
          <t>Agency</t>
        </is>
      </c>
      <c r="G107" s="15" t="inlineStr">
        <is>
          <t>Amna Zubair</t>
        </is>
      </c>
      <c r="H107" s="15" t="inlineStr">
        <is>
          <t>Corporate</t>
        </is>
      </c>
      <c r="I107" s="14" t="n">
        <v>47000000</v>
      </c>
      <c r="J107" s="14" t="n">
        <v>496500</v>
      </c>
      <c r="K107" s="14" t="n">
        <v>654105</v>
      </c>
      <c r="L107" s="14" t="n">
        <v>1</v>
      </c>
      <c r="M107" s="15" t="inlineStr">
        <is>
          <t>Active</t>
        </is>
      </c>
    </row>
    <row r="108">
      <c r="A108" s="7" t="inlineStr">
        <is>
          <t>ADM-ENG-ISB-2024-2103</t>
        </is>
      </c>
      <c r="B108" s="40" t="n">
        <v>45488</v>
      </c>
      <c r="C108" s="7" t="inlineStr">
        <is>
          <t>Islamabad Blue Area</t>
        </is>
      </c>
      <c r="D108" s="7" t="inlineStr">
        <is>
          <t>North</t>
        </is>
      </c>
      <c r="E108" s="7" t="inlineStr">
        <is>
          <t>Engineering</t>
        </is>
      </c>
      <c r="F108" s="7" t="inlineStr">
        <is>
          <t>Bancassurance</t>
        </is>
      </c>
      <c r="G108" s="7" t="inlineStr">
        <is>
          <t>Rizwan Ali Soomro</t>
        </is>
      </c>
      <c r="H108" s="7" t="inlineStr">
        <is>
          <t>Individual</t>
        </is>
      </c>
      <c r="I108" s="11" t="n">
        <v>28000000</v>
      </c>
      <c r="J108" s="11" t="n">
        <v>277500</v>
      </c>
      <c r="K108" s="11" t="n">
        <v>119888</v>
      </c>
      <c r="L108" s="11" t="n">
        <v>1</v>
      </c>
      <c r="M108" s="7" t="inlineStr">
        <is>
          <t>Renewed</t>
        </is>
      </c>
    </row>
    <row r="109">
      <c r="A109" s="15" t="inlineStr">
        <is>
          <t>ADM-FIR-FSD-2024-2104</t>
        </is>
      </c>
      <c r="B109" s="41" t="n">
        <v>45526</v>
      </c>
      <c r="C109" s="15" t="inlineStr">
        <is>
          <t>Faisalabad</t>
        </is>
      </c>
      <c r="D109" s="15" t="inlineStr">
        <is>
          <t>Central</t>
        </is>
      </c>
      <c r="E109" s="15" t="inlineStr">
        <is>
          <t>Fire &amp; Property</t>
        </is>
      </c>
      <c r="F109" s="15" t="inlineStr">
        <is>
          <t>Corporate</t>
        </is>
      </c>
      <c r="G109" s="15" t="inlineStr">
        <is>
          <t>Farhan Dar</t>
        </is>
      </c>
      <c r="H109" s="15" t="inlineStr">
        <is>
          <t>Corporate</t>
        </is>
      </c>
      <c r="I109" s="14" t="n">
        <v>28000000</v>
      </c>
      <c r="J109" s="14" t="n">
        <v>407700</v>
      </c>
      <c r="K109" s="14" t="n">
        <v>165841</v>
      </c>
      <c r="L109" s="14" t="n">
        <v>1</v>
      </c>
      <c r="M109" s="15" t="inlineStr">
        <is>
          <t>Lapsed</t>
        </is>
      </c>
    </row>
    <row r="110">
      <c r="A110" s="7" t="inlineStr">
        <is>
          <t>ADM-TRV-MUL-2024-2105</t>
        </is>
      </c>
      <c r="B110" s="40" t="n">
        <v>45536</v>
      </c>
      <c r="C110" s="7" t="inlineStr">
        <is>
          <t>Multan</t>
        </is>
      </c>
      <c r="D110" s="7" t="inlineStr">
        <is>
          <t>Central</t>
        </is>
      </c>
      <c r="E110" s="7" t="inlineStr">
        <is>
          <t>Travel</t>
        </is>
      </c>
      <c r="F110" s="7" t="inlineStr">
        <is>
          <t>Direct</t>
        </is>
      </c>
      <c r="G110" s="7" t="inlineStr">
        <is>
          <t>Sobia Naz</t>
        </is>
      </c>
      <c r="H110" s="7" t="inlineStr">
        <is>
          <t>Corporate</t>
        </is>
      </c>
      <c r="I110" s="11" t="n">
        <v>6800000</v>
      </c>
      <c r="J110" s="11" t="n">
        <v>165000</v>
      </c>
      <c r="K110" s="11" t="n">
        <v>287159</v>
      </c>
      <c r="L110" s="11" t="n">
        <v>1</v>
      </c>
      <c r="M110" s="7" t="inlineStr">
        <is>
          <t>Cancelled</t>
        </is>
      </c>
    </row>
    <row r="111">
      <c r="A111" s="15" t="inlineStr">
        <is>
          <t>ADM-MTR-PEW-2024-2106</t>
        </is>
      </c>
      <c r="B111" s="41" t="n">
        <v>45573</v>
      </c>
      <c r="C111" s="15" t="inlineStr">
        <is>
          <t>Peshawar</t>
        </is>
      </c>
      <c r="D111" s="15" t="inlineStr">
        <is>
          <t>North</t>
        </is>
      </c>
      <c r="E111" s="15" t="inlineStr">
        <is>
          <t>Motor</t>
        </is>
      </c>
      <c r="F111" s="15" t="inlineStr">
        <is>
          <t>Agency</t>
        </is>
      </c>
      <c r="G111" s="15" t="inlineStr">
        <is>
          <t>Junaid Akram</t>
        </is>
      </c>
      <c r="H111" s="15" t="inlineStr">
        <is>
          <t>Individual</t>
        </is>
      </c>
      <c r="I111" s="14" t="n">
        <v>11500000</v>
      </c>
      <c r="J111" s="14" t="n">
        <v>164500</v>
      </c>
      <c r="K111" s="14" t="n">
        <v>116615</v>
      </c>
      <c r="L111" s="14" t="n">
        <v>1</v>
      </c>
      <c r="M111" s="15" t="inlineStr">
        <is>
          <t>Active</t>
        </is>
      </c>
    </row>
    <row r="112">
      <c r="A112" s="7" t="inlineStr">
        <is>
          <t>ADM-HLT-QTA-2024-2107</t>
        </is>
      </c>
      <c r="B112" s="40" t="n">
        <v>45611</v>
      </c>
      <c r="C112" s="7" t="inlineStr">
        <is>
          <t>Quetta</t>
        </is>
      </c>
      <c r="D112" s="7" t="inlineStr">
        <is>
          <t>South</t>
        </is>
      </c>
      <c r="E112" s="7" t="inlineStr">
        <is>
          <t>Health</t>
        </is>
      </c>
      <c r="F112" s="7" t="inlineStr">
        <is>
          <t>Bancassurance</t>
        </is>
      </c>
      <c r="G112" s="7" t="inlineStr">
        <is>
          <t>Hamid Raza</t>
        </is>
      </c>
      <c r="H112" s="7" t="inlineStr">
        <is>
          <t>Corporate</t>
        </is>
      </c>
      <c r="I112" s="11" t="n">
        <v>1200000</v>
      </c>
      <c r="J112" s="11" t="n">
        <v>20400</v>
      </c>
      <c r="K112" s="11" t="n">
        <v>38497</v>
      </c>
      <c r="L112" s="11" t="n">
        <v>1</v>
      </c>
      <c r="M112" s="7" t="inlineStr">
        <is>
          <t>Active</t>
        </is>
      </c>
    </row>
    <row r="113">
      <c r="A113" s="15" t="inlineStr">
        <is>
          <t>ADM-MSC-HYD-2024-2108</t>
        </is>
      </c>
      <c r="B113" s="41" t="n">
        <v>45648</v>
      </c>
      <c r="C113" s="15" t="inlineStr">
        <is>
          <t>Hyderabad</t>
        </is>
      </c>
      <c r="D113" s="15" t="inlineStr">
        <is>
          <t>South</t>
        </is>
      </c>
      <c r="E113" s="15" t="inlineStr">
        <is>
          <t>Miscellaneous</t>
        </is>
      </c>
      <c r="F113" s="15" t="inlineStr">
        <is>
          <t>Corporate</t>
        </is>
      </c>
      <c r="G113" s="15" t="inlineStr">
        <is>
          <t>Nimra Saleem</t>
        </is>
      </c>
      <c r="H113" s="15" t="inlineStr">
        <is>
          <t>Corporate</t>
        </is>
      </c>
      <c r="I113" s="14" t="n">
        <v>28000000</v>
      </c>
      <c r="J113" s="14" t="n">
        <v>283000</v>
      </c>
      <c r="K113" s="14" t="n">
        <v>228763</v>
      </c>
      <c r="L113" s="14" t="n">
        <v>1</v>
      </c>
      <c r="M113" s="15" t="inlineStr">
        <is>
          <t>Renewed</t>
        </is>
      </c>
    </row>
    <row r="114">
      <c r="A114" s="7" t="inlineStr">
        <is>
          <t>ADM-MAR-SKT-2024-2109</t>
        </is>
      </c>
      <c r="B114" s="40" t="n">
        <v>45292</v>
      </c>
      <c r="C114" s="7" t="inlineStr">
        <is>
          <t>Sialkot</t>
        </is>
      </c>
      <c r="D114" s="7" t="inlineStr">
        <is>
          <t>Central</t>
        </is>
      </c>
      <c r="E114" s="7" t="inlineStr">
        <is>
          <t>Marine Cargo</t>
        </is>
      </c>
      <c r="F114" s="7" t="inlineStr">
        <is>
          <t>Direct</t>
        </is>
      </c>
      <c r="G114" s="7" t="inlineStr">
        <is>
          <t>Tariq Jameel</t>
        </is>
      </c>
      <c r="H114" s="7" t="inlineStr">
        <is>
          <t>Individual</t>
        </is>
      </c>
      <c r="I114" s="11" t="n">
        <v>28000000</v>
      </c>
      <c r="J114" s="11" t="n">
        <v>167600</v>
      </c>
      <c r="K114" s="11" t="n">
        <v>156514</v>
      </c>
      <c r="L114" s="11" t="n">
        <v>1</v>
      </c>
      <c r="M114" s="7" t="inlineStr">
        <is>
          <t>Lapsed</t>
        </is>
      </c>
    </row>
    <row r="115">
      <c r="A115" s="15" t="inlineStr">
        <is>
          <t>ADM-ENG-RWP-2024-2110</t>
        </is>
      </c>
      <c r="B115" s="41" t="n">
        <v>45330</v>
      </c>
      <c r="C115" s="15" t="inlineStr">
        <is>
          <t>Rawalpindi</t>
        </is>
      </c>
      <c r="D115" s="15" t="inlineStr">
        <is>
          <t>North</t>
        </is>
      </c>
      <c r="E115" s="15" t="inlineStr">
        <is>
          <t>Engineering</t>
        </is>
      </c>
      <c r="F115" s="15" t="inlineStr">
        <is>
          <t>Agency</t>
        </is>
      </c>
      <c r="G115" s="15" t="inlineStr">
        <is>
          <t>Nadia Hassan</t>
        </is>
      </c>
      <c r="H115" s="15" t="inlineStr">
        <is>
          <t>Corporate</t>
        </is>
      </c>
      <c r="I115" s="14" t="n">
        <v>72000000</v>
      </c>
      <c r="J115" s="14" t="n">
        <v>1093900</v>
      </c>
      <c r="K115" s="14" t="n">
        <v>310278</v>
      </c>
      <c r="L115" s="14" t="n">
        <v>1</v>
      </c>
      <c r="M115" s="15" t="inlineStr">
        <is>
          <t>Cancelled</t>
        </is>
      </c>
    </row>
    <row r="116">
      <c r="A116" s="7" t="inlineStr">
        <is>
          <t>ADM-FIR-KHI-2024-2111</t>
        </is>
      </c>
      <c r="B116" s="40" t="n">
        <v>45366</v>
      </c>
      <c r="C116" s="7" t="inlineStr">
        <is>
          <t>Karachi Main</t>
        </is>
      </c>
      <c r="D116" s="7" t="inlineStr">
        <is>
          <t>South</t>
        </is>
      </c>
      <c r="E116" s="7" t="inlineStr">
        <is>
          <t>Fire &amp; Property</t>
        </is>
      </c>
      <c r="F116" s="7" t="inlineStr">
        <is>
          <t>Bancassurance</t>
        </is>
      </c>
      <c r="G116" s="7" t="inlineStr">
        <is>
          <t>Salman Shah</t>
        </is>
      </c>
      <c r="H116" s="7" t="inlineStr">
        <is>
          <t>Corporate</t>
        </is>
      </c>
      <c r="I116" s="11" t="n">
        <v>11500000</v>
      </c>
      <c r="J116" s="11" t="n">
        <v>355200</v>
      </c>
      <c r="K116" s="11" t="n">
        <v>7123</v>
      </c>
      <c r="L116" s="11" t="n">
        <v>1</v>
      </c>
      <c r="M116" s="7" t="inlineStr">
        <is>
          <t>Active</t>
        </is>
      </c>
    </row>
    <row r="117">
      <c r="A117" s="15" t="inlineStr">
        <is>
          <t>ADM-TRV-LHR-2024-2112</t>
        </is>
      </c>
      <c r="B117" s="41" t="n">
        <v>45404</v>
      </c>
      <c r="C117" s="15" t="inlineStr">
        <is>
          <t>Lahore Gulberg</t>
        </is>
      </c>
      <c r="D117" s="15" t="inlineStr">
        <is>
          <t>Central</t>
        </is>
      </c>
      <c r="E117" s="15" t="inlineStr">
        <is>
          <t>Travel</t>
        </is>
      </c>
      <c r="F117" s="15" t="inlineStr">
        <is>
          <t>Corporate</t>
        </is>
      </c>
      <c r="G117" s="15" t="inlineStr">
        <is>
          <t>Komal Bashir</t>
        </is>
      </c>
      <c r="H117" s="15" t="inlineStr">
        <is>
          <t>Individual</t>
        </is>
      </c>
      <c r="I117" s="14" t="n">
        <v>28000000</v>
      </c>
      <c r="J117" s="14" t="n">
        <v>555900</v>
      </c>
      <c r="K117" s="14" t="n">
        <v>328413</v>
      </c>
      <c r="L117" s="14" t="n">
        <v>1</v>
      </c>
      <c r="M117" s="15" t="inlineStr">
        <is>
          <t>Active</t>
        </is>
      </c>
    </row>
    <row r="118">
      <c r="A118" s="7" t="inlineStr">
        <is>
          <t>ADM-MTR-ISB-2024-2113</t>
        </is>
      </c>
      <c r="B118" s="40" t="n">
        <v>45413</v>
      </c>
      <c r="C118" s="7" t="inlineStr">
        <is>
          <t>Islamabad Blue Area</t>
        </is>
      </c>
      <c r="D118" s="7" t="inlineStr">
        <is>
          <t>North</t>
        </is>
      </c>
      <c r="E118" s="7" t="inlineStr">
        <is>
          <t>Motor</t>
        </is>
      </c>
      <c r="F118" s="7" t="inlineStr">
        <is>
          <t>Direct</t>
        </is>
      </c>
      <c r="G118" s="7" t="inlineStr">
        <is>
          <t>Waqar Younis Khan</t>
        </is>
      </c>
      <c r="H118" s="7" t="inlineStr">
        <is>
          <t>Corporate</t>
        </is>
      </c>
      <c r="I118" s="11" t="n">
        <v>28000000</v>
      </c>
      <c r="J118" s="11" t="n">
        <v>770600</v>
      </c>
      <c r="K118" s="11" t="n">
        <v>429829</v>
      </c>
      <c r="L118" s="11" t="n">
        <v>1</v>
      </c>
      <c r="M118" s="7" t="inlineStr">
        <is>
          <t>Renewed</t>
        </is>
      </c>
    </row>
    <row r="119">
      <c r="A119" s="15" t="inlineStr">
        <is>
          <t>ADM-HLT-FSD-2024-2114</t>
        </is>
      </c>
      <c r="B119" s="41" t="n">
        <v>45451</v>
      </c>
      <c r="C119" s="15" t="inlineStr">
        <is>
          <t>Faisalabad</t>
        </is>
      </c>
      <c r="D119" s="15" t="inlineStr">
        <is>
          <t>Central</t>
        </is>
      </c>
      <c r="E119" s="15" t="inlineStr">
        <is>
          <t>Health</t>
        </is>
      </c>
      <c r="F119" s="15" t="inlineStr">
        <is>
          <t>Agency</t>
        </is>
      </c>
      <c r="G119" s="15" t="inlineStr">
        <is>
          <t>Amna Zubair</t>
        </is>
      </c>
      <c r="H119" s="15" t="inlineStr">
        <is>
          <t>Corporate</t>
        </is>
      </c>
      <c r="I119" s="14" t="n">
        <v>19000000</v>
      </c>
      <c r="J119" s="14" t="n">
        <v>179600</v>
      </c>
      <c r="K119" s="14" t="n">
        <v>109197</v>
      </c>
      <c r="L119" s="14" t="n">
        <v>1</v>
      </c>
      <c r="M119" s="15" t="inlineStr">
        <is>
          <t>Lapsed</t>
        </is>
      </c>
    </row>
    <row r="120">
      <c r="A120" s="7" t="inlineStr">
        <is>
          <t>ADM-MSC-MUL-2024-2115</t>
        </is>
      </c>
      <c r="B120" s="40" t="n">
        <v>45488</v>
      </c>
      <c r="C120" s="7" t="inlineStr">
        <is>
          <t>Multan</t>
        </is>
      </c>
      <c r="D120" s="7" t="inlineStr">
        <is>
          <t>Central</t>
        </is>
      </c>
      <c r="E120" s="7" t="inlineStr">
        <is>
          <t>Miscellaneous</t>
        </is>
      </c>
      <c r="F120" s="7" t="inlineStr">
        <is>
          <t>Bancassurance</t>
        </is>
      </c>
      <c r="G120" s="7" t="inlineStr">
        <is>
          <t>Rizwan Ali Soomro</t>
        </is>
      </c>
      <c r="H120" s="7" t="inlineStr">
        <is>
          <t>Individual</t>
        </is>
      </c>
      <c r="I120" s="11" t="n">
        <v>11500000</v>
      </c>
      <c r="J120" s="11" t="n">
        <v>268100</v>
      </c>
      <c r="K120" s="11" t="n">
        <v>402308</v>
      </c>
      <c r="L120" s="11" t="n">
        <v>1</v>
      </c>
      <c r="M120" s="7" t="inlineStr">
        <is>
          <t>Cancelled</t>
        </is>
      </c>
    </row>
    <row r="121">
      <c r="A121" s="15" t="inlineStr">
        <is>
          <t>ADM-MAR-PEW-2024-2116</t>
        </is>
      </c>
      <c r="B121" s="41" t="n">
        <v>45526</v>
      </c>
      <c r="C121" s="15" t="inlineStr">
        <is>
          <t>Peshawar</t>
        </is>
      </c>
      <c r="D121" s="15" t="inlineStr">
        <is>
          <t>North</t>
        </is>
      </c>
      <c r="E121" s="15" t="inlineStr">
        <is>
          <t>Marine Cargo</t>
        </is>
      </c>
      <c r="F121" s="15" t="inlineStr">
        <is>
          <t>Corporate</t>
        </is>
      </c>
      <c r="G121" s="15" t="inlineStr">
        <is>
          <t>Farhan Dar</t>
        </is>
      </c>
      <c r="H121" s="15" t="inlineStr">
        <is>
          <t>Corporate</t>
        </is>
      </c>
      <c r="I121" s="14" t="n">
        <v>6800000</v>
      </c>
      <c r="J121" s="14" t="n">
        <v>192200</v>
      </c>
      <c r="K121" s="14" t="n">
        <v>237922</v>
      </c>
      <c r="L121" s="14" t="n">
        <v>1</v>
      </c>
      <c r="M121" s="15" t="inlineStr">
        <is>
          <t>Active</t>
        </is>
      </c>
    </row>
    <row r="122">
      <c r="A122" s="7" t="inlineStr">
        <is>
          <t>ADM-ENG-QTA-2024-2117</t>
        </is>
      </c>
      <c r="B122" s="40" t="n">
        <v>45536</v>
      </c>
      <c r="C122" s="7" t="inlineStr">
        <is>
          <t>Quetta</t>
        </is>
      </c>
      <c r="D122" s="7" t="inlineStr">
        <is>
          <t>South</t>
        </is>
      </c>
      <c r="E122" s="7" t="inlineStr">
        <is>
          <t>Engineering</t>
        </is>
      </c>
      <c r="F122" s="7" t="inlineStr">
        <is>
          <t>Direct</t>
        </is>
      </c>
      <c r="G122" s="7" t="inlineStr">
        <is>
          <t>Sobia Naz</t>
        </is>
      </c>
      <c r="H122" s="7" t="inlineStr">
        <is>
          <t>Corporate</t>
        </is>
      </c>
      <c r="I122" s="11" t="n">
        <v>1200000</v>
      </c>
      <c r="J122" s="11" t="n">
        <v>8500</v>
      </c>
      <c r="K122" s="11" t="n">
        <v>1655</v>
      </c>
      <c r="L122" s="11" t="n">
        <v>1</v>
      </c>
      <c r="M122" s="7" t="inlineStr">
        <is>
          <t>Active</t>
        </is>
      </c>
    </row>
    <row r="123">
      <c r="A123" s="15" t="inlineStr">
        <is>
          <t>ADM-FIR-HYD-2024-2118</t>
        </is>
      </c>
      <c r="B123" s="41" t="n">
        <v>45573</v>
      </c>
      <c r="C123" s="15" t="inlineStr">
        <is>
          <t>Hyderabad</t>
        </is>
      </c>
      <c r="D123" s="15" t="inlineStr">
        <is>
          <t>South</t>
        </is>
      </c>
      <c r="E123" s="15" t="inlineStr">
        <is>
          <t>Fire &amp; Property</t>
        </is>
      </c>
      <c r="F123" s="15" t="inlineStr">
        <is>
          <t>Agency</t>
        </is>
      </c>
      <c r="G123" s="15" t="inlineStr">
        <is>
          <t>Junaid Akram</t>
        </is>
      </c>
      <c r="H123" s="15" t="inlineStr">
        <is>
          <t>Individual</t>
        </is>
      </c>
      <c r="I123" s="14" t="n">
        <v>3400000</v>
      </c>
      <c r="J123" s="14" t="n">
        <v>49100</v>
      </c>
      <c r="K123" s="14" t="n">
        <v>31206</v>
      </c>
      <c r="L123" s="14" t="n">
        <v>1</v>
      </c>
      <c r="M123" s="15" t="inlineStr">
        <is>
          <t>Renewed</t>
        </is>
      </c>
    </row>
    <row r="124">
      <c r="A124" s="7" t="inlineStr">
        <is>
          <t>ADM-TRV-SKT-2024-2119</t>
        </is>
      </c>
      <c r="B124" s="40" t="n">
        <v>45611</v>
      </c>
      <c r="C124" s="7" t="inlineStr">
        <is>
          <t>Sialkot</t>
        </is>
      </c>
      <c r="D124" s="7" t="inlineStr">
        <is>
          <t>Central</t>
        </is>
      </c>
      <c r="E124" s="7" t="inlineStr">
        <is>
          <t>Travel</t>
        </is>
      </c>
      <c r="F124" s="7" t="inlineStr">
        <is>
          <t>Bancassurance</t>
        </is>
      </c>
      <c r="G124" s="7" t="inlineStr">
        <is>
          <t>Hamid Raza</t>
        </is>
      </c>
      <c r="H124" s="7" t="inlineStr">
        <is>
          <t>Corporate</t>
        </is>
      </c>
      <c r="I124" s="11" t="n">
        <v>72000000</v>
      </c>
      <c r="J124" s="11" t="n">
        <v>586400</v>
      </c>
      <c r="K124" s="11" t="n">
        <v>404374</v>
      </c>
      <c r="L124" s="11" t="n">
        <v>1</v>
      </c>
      <c r="M124" s="7" t="inlineStr">
        <is>
          <t>Lapsed</t>
        </is>
      </c>
    </row>
    <row r="125">
      <c r="A125" s="15" t="inlineStr">
        <is>
          <t>ADM-MTR-RWP-2024-2120</t>
        </is>
      </c>
      <c r="B125" s="41" t="n">
        <v>45648</v>
      </c>
      <c r="C125" s="15" t="inlineStr">
        <is>
          <t>Rawalpindi</t>
        </is>
      </c>
      <c r="D125" s="15" t="inlineStr">
        <is>
          <t>North</t>
        </is>
      </c>
      <c r="E125" s="15" t="inlineStr">
        <is>
          <t>Motor</t>
        </is>
      </c>
      <c r="F125" s="15" t="inlineStr">
        <is>
          <t>Corporate</t>
        </is>
      </c>
      <c r="G125" s="15" t="inlineStr">
        <is>
          <t>Nimra Saleem</t>
        </is>
      </c>
      <c r="H125" s="15" t="inlineStr">
        <is>
          <t>Corporate</t>
        </is>
      </c>
      <c r="I125" s="14" t="n">
        <v>6800000</v>
      </c>
      <c r="J125" s="14" t="n">
        <v>111000</v>
      </c>
      <c r="K125" s="14" t="n">
        <v>91930</v>
      </c>
      <c r="L125" s="14" t="n">
        <v>1</v>
      </c>
      <c r="M125" s="15" t="inlineStr">
        <is>
          <t>Cancelled</t>
        </is>
      </c>
    </row>
    <row r="127">
      <c r="A127" s="9" t="inlineStr">
        <is>
          <t>Table B — Load decision guide to complete</t>
        </is>
      </c>
    </row>
    <row r="128" ht="30" customHeight="1">
      <c r="A128" s="10" t="inlineStr">
        <is>
          <t>Query</t>
        </is>
      </c>
      <c r="B128" s="10" t="inlineStr">
        <is>
          <t>Purpose</t>
        </is>
      </c>
      <c r="C128" s="10" t="inlineStr">
        <is>
          <t>Load option you chose</t>
        </is>
      </c>
      <c r="D128" s="10" t="inlineStr">
        <is>
          <t>Why</t>
        </is>
      </c>
    </row>
    <row r="129">
      <c r="A129" s="7" t="inlineStr">
        <is>
          <t>Policy_Feed_Raw</t>
        </is>
      </c>
      <c r="B129" s="7" t="inlineStr">
        <is>
          <t>Staging — cleaned source</t>
        </is>
      </c>
      <c r="C129" s="7" t="inlineStr"/>
      <c r="D129" s="7" t="inlineStr"/>
    </row>
    <row r="130">
      <c r="A130" s="15" t="inlineStr">
        <is>
          <t>Branch_Master</t>
        </is>
      </c>
      <c r="B130" s="15" t="inlineStr">
        <is>
          <t>Lookup table for merges</t>
        </is>
      </c>
      <c r="C130" s="15" t="inlineStr"/>
      <c r="D130" s="15" t="inlineStr"/>
    </row>
    <row r="131">
      <c r="A131" s="7" t="inlineStr">
        <is>
          <t>Policy_Register</t>
        </is>
      </c>
      <c r="B131" s="7" t="inlineStr">
        <is>
          <t>Final transaction table</t>
        </is>
      </c>
      <c r="C131" s="7" t="inlineStr"/>
      <c r="D131" s="7" t="inlineStr"/>
    </row>
    <row r="132">
      <c r="A132" s="15" t="inlineStr">
        <is>
          <t>Branch_Summary</t>
        </is>
      </c>
      <c r="B132" s="15" t="inlineStr">
        <is>
          <t>Summary shown to the Regional Head</t>
        </is>
      </c>
      <c r="C132" s="15" t="inlineStr"/>
      <c r="D132" s="15" t="inlineStr"/>
    </row>
    <row r="133">
      <c r="A133" s="7" t="inlineStr">
        <is>
          <t>Dashboard_Source</t>
        </is>
      </c>
      <c r="B133" s="7" t="inlineStr">
        <is>
          <t>Feeds the executive pivot</t>
        </is>
      </c>
      <c r="C133" s="7" t="inlineStr"/>
      <c r="D133" s="7" t="inlineStr"/>
    </row>
    <row r="135">
      <c r="A13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89.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Load plan for the five reporting queries</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The reporting workbook has grown to 90 MB and takes four minutes to open because every query loads to a worksheet, including three staging queries nobody looks at. The file is emailed to ten branches monthly.</t>
        </is>
      </c>
    </row>
    <row r="9">
      <c r="A9" s="25" t="inlineStr">
        <is>
          <t>Source data: '3.12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Load plan for the five reporting queries</t>
        </is>
      </c>
      <c r="C13" s="38" t="inlineStr">
        <is>
          <t>A completed load plan naming, for each of the five queries, the load option chosen and a one-line justification: Policy_Feed_Raw, Branch_Master, Policy_Register, Branch_Summary, Dashboard_Source.</t>
        </is>
      </c>
      <c r="D13" s="37" t="inlineStr">
        <is>
          <t>Head of MIS</t>
        </is>
      </c>
      <c r="E13" s="31" t="n"/>
    </row>
    <row r="14" ht="52" customHeight="1">
      <c r="A14" s="35" t="n">
        <v>2</v>
      </c>
      <c r="B14" s="36" t="inlineStr">
        <is>
          <t>Pivot fed directly from a query</t>
        </is>
      </c>
      <c r="C14" s="38" t="inlineStr">
        <is>
          <t>A pivot loaded directly as a PivotTable Report from the query, with the duplicate worksheet table removed and the file size before and after recorded.</t>
        </is>
      </c>
      <c r="D14" s="37" t="inlineStr">
        <is>
          <t>Head of Management Reporting</t>
        </is>
      </c>
      <c r="E14" s="31" t="n"/>
    </row>
    <row r="15" ht="52" customHeight="1">
      <c r="A15" s="35" t="n">
        <v>3</v>
      </c>
      <c r="B15" s="36" t="inlineStr">
        <is>
          <t>Data Model load for the large claims file</t>
        </is>
      </c>
      <c r="C15" s="38" t="inlineStr">
        <is>
          <t>The claims query loaded to the Data Model, with a note on the worksheet row limit, what the Data Model enables, and the load status and row count of every query from the Queries pane.</t>
        </is>
      </c>
      <c r="D15" s="37" t="inlineStr">
        <is>
          <t>Head of MIS</t>
        </is>
      </c>
      <c r="E15" s="31" t="n"/>
    </row>
    <row r="16" ht="39" customHeight="1">
      <c r="A16" s="35" t="n">
        <v>4</v>
      </c>
      <c r="B16" s="36" t="inlineStr">
        <is>
          <t>Changing a load destination without rebuilding</t>
        </is>
      </c>
      <c r="C16" s="38" t="inlineStr">
        <is>
          <t>Evidence of changing an existing query's load destination in place, with the two-click route recorded for the runbook.</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90.xml><?xml version="1.0" encoding="utf-8"?>
<worksheet xmlns="http://schemas.openxmlformats.org/spreadsheetml/2006/main">
  <sheetPr>
    <tabColor rgb="001F3864"/>
    <outlinePr summaryBelow="1" summaryRight="1"/>
    <pageSetUpPr/>
  </sheetPr>
  <dimension ref="A1:F33"/>
  <sheetViews>
    <sheetView showGridLines="0" workbookViewId="0">
      <pane ySplit="5" topLeftCell="A6" activePane="bottomLeft" state="frozen"/>
      <selection pane="bottomLeft" activeCell="A1" sqref="A1"/>
    </sheetView>
  </sheetViews>
  <sheetFormatPr baseColWidth="8" defaultRowHeight="15"/>
  <cols>
    <col width="36" customWidth="1" min="1" max="1"/>
    <col width="32" customWidth="1" min="2" max="2"/>
    <col width="22" customWidth="1" min="3" max="3"/>
    <col width="18" customWidth="1" min="4" max="4"/>
    <col width="20" customWidth="1" min="5" max="5"/>
    <col width="20" customWidth="1" min="6" max="6"/>
  </cols>
  <sheetData>
    <row r="1" ht="26" customHeight="1">
      <c r="A1" s="1" t="inlineStr">
        <is>
          <t>Dataset 3.13  —  Refreshing Queries and Automating Data Updates</t>
        </is>
      </c>
    </row>
    <row r="2" ht="16" customHeight="1">
      <c r="A2" s="2" t="inlineStr">
        <is>
          <t>Session 3: Advanced Pivot Tables, Power Query &amp; What-If Analysis | Part B: Introduction to Power Query   |   Adamjee Assurance Company Limited (Pakistan) — training data, figures in PKR</t>
        </is>
      </c>
    </row>
    <row r="4">
      <c r="A4" s="9" t="inlineStr">
        <is>
          <t>Table A — Current month's branch feed</t>
        </is>
      </c>
    </row>
    <row r="5" ht="30" customHeight="1">
      <c r="A5" s="10" t="inlineStr">
        <is>
          <t>Policy No</t>
        </is>
      </c>
      <c r="B5" s="10" t="inlineStr">
        <is>
          <t>Booking Date</t>
        </is>
      </c>
      <c r="C5" s="10" t="inlineStr">
        <is>
          <t>Branch</t>
        </is>
      </c>
      <c r="D5" s="10" t="inlineStr">
        <is>
          <t>Product</t>
        </is>
      </c>
      <c r="E5" s="10" t="inlineStr">
        <is>
          <t>Gross Premium (PKR)</t>
        </is>
      </c>
      <c r="F5" s="10" t="inlineStr">
        <is>
          <t>Claims Paid (PKR)</t>
        </is>
      </c>
    </row>
    <row r="6">
      <c r="A6" s="7" t="inlineStr">
        <is>
          <t>ADM-MTR-KHI-2024-2001</t>
        </is>
      </c>
      <c r="B6" s="40" t="n">
        <v>45292</v>
      </c>
      <c r="C6" s="7" t="inlineStr">
        <is>
          <t>Karachi Main</t>
        </is>
      </c>
      <c r="D6" s="7" t="inlineStr">
        <is>
          <t>Motor</t>
        </is>
      </c>
      <c r="E6" s="11" t="n">
        <v>33200</v>
      </c>
      <c r="F6" s="11" t="n">
        <v>52907</v>
      </c>
    </row>
    <row r="7">
      <c r="A7" s="15" t="inlineStr">
        <is>
          <t>ADM-HLT-LHR-2024-2002</t>
        </is>
      </c>
      <c r="B7" s="41" t="n">
        <v>45330</v>
      </c>
      <c r="C7" s="15" t="inlineStr">
        <is>
          <t>Lahore Gulberg</t>
        </is>
      </c>
      <c r="D7" s="15" t="inlineStr">
        <is>
          <t>Health</t>
        </is>
      </c>
      <c r="E7" s="14" t="n">
        <v>15300</v>
      </c>
      <c r="F7" s="14" t="n">
        <v>3207</v>
      </c>
    </row>
    <row r="8">
      <c r="A8" s="7" t="inlineStr">
        <is>
          <t>ADM-MSC-ISB-2024-2003</t>
        </is>
      </c>
      <c r="B8" s="40" t="n">
        <v>45366</v>
      </c>
      <c r="C8" s="7" t="inlineStr">
        <is>
          <t>Islamabad Blue Area</t>
        </is>
      </c>
      <c r="D8" s="7" t="inlineStr">
        <is>
          <t>Miscellaneous</t>
        </is>
      </c>
      <c r="E8" s="11" t="n">
        <v>206100</v>
      </c>
      <c r="F8" s="11" t="n">
        <v>260673</v>
      </c>
    </row>
    <row r="9">
      <c r="A9" s="15" t="inlineStr">
        <is>
          <t>ADM-MAR-FSD-2024-2004</t>
        </is>
      </c>
      <c r="B9" s="41" t="n">
        <v>45404</v>
      </c>
      <c r="C9" s="15" t="inlineStr">
        <is>
          <t>Faisalabad</t>
        </is>
      </c>
      <c r="D9" s="15" t="inlineStr">
        <is>
          <t>Marine Cargo</t>
        </is>
      </c>
      <c r="E9" s="14" t="n">
        <v>1335500</v>
      </c>
      <c r="F9" s="14" t="n">
        <v>125902</v>
      </c>
    </row>
    <row r="10">
      <c r="A10" s="7" t="inlineStr">
        <is>
          <t>ADM-ENG-MUL-2024-2005</t>
        </is>
      </c>
      <c r="B10" s="40" t="n">
        <v>45413</v>
      </c>
      <c r="C10" s="7" t="inlineStr">
        <is>
          <t>Multan</t>
        </is>
      </c>
      <c r="D10" s="7" t="inlineStr">
        <is>
          <t>Engineering</t>
        </is>
      </c>
      <c r="E10" s="11" t="n">
        <v>14500</v>
      </c>
      <c r="F10" s="11" t="n">
        <v>20595</v>
      </c>
    </row>
    <row r="11">
      <c r="A11" s="15" t="inlineStr">
        <is>
          <t>ADM-FIR-PEW-2024-2006</t>
        </is>
      </c>
      <c r="B11" s="41" t="n">
        <v>45451</v>
      </c>
      <c r="C11" s="15" t="inlineStr">
        <is>
          <t>Peshawar</t>
        </is>
      </c>
      <c r="D11" s="15" t="inlineStr">
        <is>
          <t>Fire &amp; Property</t>
        </is>
      </c>
      <c r="E11" s="14" t="n">
        <v>1519000</v>
      </c>
      <c r="F11" s="14" t="n">
        <v>2506397</v>
      </c>
    </row>
    <row r="12">
      <c r="A12" s="7" t="inlineStr">
        <is>
          <t>ADM-TRV-QTA-2024-2007</t>
        </is>
      </c>
      <c r="B12" s="40" t="n">
        <v>45488</v>
      </c>
      <c r="C12" s="7" t="inlineStr">
        <is>
          <t>Quetta</t>
        </is>
      </c>
      <c r="D12" s="7" t="inlineStr">
        <is>
          <t>Travel</t>
        </is>
      </c>
      <c r="E12" s="11" t="n">
        <v>23900</v>
      </c>
      <c r="F12" s="11" t="n">
        <v>3819</v>
      </c>
    </row>
    <row r="13">
      <c r="A13" s="15" t="inlineStr">
        <is>
          <t>ADM-MTR-HYD-2024-2008</t>
        </is>
      </c>
      <c r="B13" s="41" t="n">
        <v>45526</v>
      </c>
      <c r="C13" s="15" t="inlineStr">
        <is>
          <t>Hyderabad</t>
        </is>
      </c>
      <c r="D13" s="15" t="inlineStr">
        <is>
          <t>Motor</t>
        </is>
      </c>
      <c r="E13" s="14" t="n">
        <v>204900</v>
      </c>
      <c r="F13" s="14" t="n">
        <v>293808</v>
      </c>
    </row>
    <row r="14">
      <c r="A14" s="7" t="inlineStr">
        <is>
          <t>ADM-HLT-SKT-2024-2009</t>
        </is>
      </c>
      <c r="B14" s="40" t="n">
        <v>45536</v>
      </c>
      <c r="C14" s="7" t="inlineStr">
        <is>
          <t>Sialkot</t>
        </is>
      </c>
      <c r="D14" s="7" t="inlineStr">
        <is>
          <t>Health</t>
        </is>
      </c>
      <c r="E14" s="11" t="n">
        <v>145900</v>
      </c>
      <c r="F14" s="11" t="n">
        <v>101845</v>
      </c>
    </row>
    <row r="15">
      <c r="A15" s="15" t="inlineStr">
        <is>
          <t>ADM-MSC-RWP-2024-2010</t>
        </is>
      </c>
      <c r="B15" s="41" t="n">
        <v>45573</v>
      </c>
      <c r="C15" s="15" t="inlineStr">
        <is>
          <t>Rawalpindi</t>
        </is>
      </c>
      <c r="D15" s="15" t="inlineStr">
        <is>
          <t>Miscellaneous</t>
        </is>
      </c>
      <c r="E15" s="14" t="n">
        <v>20000</v>
      </c>
      <c r="F15" s="14" t="n">
        <v>15603</v>
      </c>
    </row>
    <row r="16">
      <c r="A16" s="7" t="inlineStr">
        <is>
          <t>ADM-MAR-KHI-2024-2011</t>
        </is>
      </c>
      <c r="B16" s="40" t="n">
        <v>45611</v>
      </c>
      <c r="C16" s="7" t="inlineStr">
        <is>
          <t>Karachi Main</t>
        </is>
      </c>
      <c r="D16" s="7" t="inlineStr">
        <is>
          <t>Marine Cargo</t>
        </is>
      </c>
      <c r="E16" s="11" t="n">
        <v>716000</v>
      </c>
      <c r="F16" s="11" t="n">
        <v>109689</v>
      </c>
    </row>
    <row r="17">
      <c r="A17" s="15" t="inlineStr">
        <is>
          <t>ADM-ENG-LHR-2024-2012</t>
        </is>
      </c>
      <c r="B17" s="41" t="n">
        <v>45648</v>
      </c>
      <c r="C17" s="15" t="inlineStr">
        <is>
          <t>Lahore Gulberg</t>
        </is>
      </c>
      <c r="D17" s="15" t="inlineStr">
        <is>
          <t>Engineering</t>
        </is>
      </c>
      <c r="E17" s="14" t="n">
        <v>722600</v>
      </c>
      <c r="F17" s="14" t="n">
        <v>919063</v>
      </c>
    </row>
    <row r="18">
      <c r="A18" s="7" t="inlineStr">
        <is>
          <t>ADM-FIR-ISB-2024-2013</t>
        </is>
      </c>
      <c r="B18" s="40" t="n">
        <v>45292</v>
      </c>
      <c r="C18" s="7" t="inlineStr">
        <is>
          <t>Islamabad Blue Area</t>
        </is>
      </c>
      <c r="D18" s="7" t="inlineStr">
        <is>
          <t>Fire &amp; Property</t>
        </is>
      </c>
      <c r="E18" s="11" t="n">
        <v>472900</v>
      </c>
      <c r="F18" s="11" t="n">
        <v>891308</v>
      </c>
    </row>
    <row r="19">
      <c r="A19" s="15" t="inlineStr">
        <is>
          <t>ADM-TRV-FSD-2024-2014</t>
        </is>
      </c>
      <c r="B19" s="41" t="n">
        <v>45330</v>
      </c>
      <c r="C19" s="15" t="inlineStr">
        <is>
          <t>Faisalabad</t>
        </is>
      </c>
      <c r="D19" s="15" t="inlineStr">
        <is>
          <t>Travel</t>
        </is>
      </c>
      <c r="E19" s="14" t="n">
        <v>66300</v>
      </c>
      <c r="F19" s="14" t="n">
        <v>114579</v>
      </c>
    </row>
    <row r="20">
      <c r="A20" s="7" t="inlineStr">
        <is>
          <t>ADM-MTR-MUL-2024-2015</t>
        </is>
      </c>
      <c r="B20" s="40" t="n">
        <v>45366</v>
      </c>
      <c r="C20" s="7" t="inlineStr">
        <is>
          <t>Multan</t>
        </is>
      </c>
      <c r="D20" s="7" t="inlineStr">
        <is>
          <t>Motor</t>
        </is>
      </c>
      <c r="E20" s="11" t="n">
        <v>502000</v>
      </c>
      <c r="F20" s="11" t="n">
        <v>218330</v>
      </c>
    </row>
    <row r="21">
      <c r="A21" s="15" t="inlineStr">
        <is>
          <t>ADM-HLT-PEW-2024-2016</t>
        </is>
      </c>
      <c r="B21" s="41" t="n">
        <v>45404</v>
      </c>
      <c r="C21" s="15" t="inlineStr">
        <is>
          <t>Peshawar</t>
        </is>
      </c>
      <c r="D21" s="15" t="inlineStr">
        <is>
          <t>Health</t>
        </is>
      </c>
      <c r="E21" s="14" t="n">
        <v>1011100</v>
      </c>
      <c r="F21" s="14" t="n">
        <v>1308447</v>
      </c>
    </row>
    <row r="22">
      <c r="A22" s="7" t="inlineStr">
        <is>
          <t>ADM-MSC-QTA-2024-2017</t>
        </is>
      </c>
      <c r="B22" s="40" t="n">
        <v>45413</v>
      </c>
      <c r="C22" s="7" t="inlineStr">
        <is>
          <t>Quetta</t>
        </is>
      </c>
      <c r="D22" s="7" t="inlineStr">
        <is>
          <t>Miscellaneous</t>
        </is>
      </c>
      <c r="E22" s="11" t="n">
        <v>240800</v>
      </c>
      <c r="F22" s="11" t="n">
        <v>175880</v>
      </c>
    </row>
    <row r="23">
      <c r="A23" s="15" t="inlineStr">
        <is>
          <t>ADM-MAR-HYD-2024-2018</t>
        </is>
      </c>
      <c r="B23" s="41" t="n">
        <v>45451</v>
      </c>
      <c r="C23" s="15" t="inlineStr">
        <is>
          <t>Hyderabad</t>
        </is>
      </c>
      <c r="D23" s="15" t="inlineStr">
        <is>
          <t>Marine Cargo</t>
        </is>
      </c>
      <c r="E23" s="14" t="n">
        <v>191900</v>
      </c>
      <c r="F23" s="14" t="n">
        <v>307821</v>
      </c>
    </row>
    <row r="25">
      <c r="A25" s="9" t="inlineStr">
        <is>
          <t>Table B — Refresh settings to configure</t>
        </is>
      </c>
    </row>
    <row r="26" ht="30" customHeight="1">
      <c r="A26" s="10" t="inlineStr">
        <is>
          <t>Setting</t>
        </is>
      </c>
      <c r="B26" s="10" t="inlineStr">
        <is>
          <t>Where</t>
        </is>
      </c>
      <c r="C26" s="10" t="inlineStr">
        <is>
          <t>Your choice</t>
        </is>
      </c>
    </row>
    <row r="27">
      <c r="A27" s="7" t="inlineStr">
        <is>
          <t>Refresh data when opening the file</t>
        </is>
      </c>
      <c r="B27" s="7" t="inlineStr">
        <is>
          <t>Query Properties &gt; Usage</t>
        </is>
      </c>
      <c r="C27" s="7" t="inlineStr"/>
    </row>
    <row r="28">
      <c r="A28" s="15" t="inlineStr">
        <is>
          <t>Refresh every N minutes</t>
        </is>
      </c>
      <c r="B28" s="15" t="inlineStr">
        <is>
          <t>Query Properties &gt; Usage</t>
        </is>
      </c>
      <c r="C28" s="15" t="inlineStr"/>
    </row>
    <row r="29">
      <c r="A29" s="7" t="inlineStr">
        <is>
          <t>Enable background refresh</t>
        </is>
      </c>
      <c r="B29" s="7" t="inlineStr">
        <is>
          <t>Query Properties &gt; Usage</t>
        </is>
      </c>
      <c r="C29" s="7" t="inlineStr"/>
    </row>
    <row r="30">
      <c r="A30" s="15" t="inlineStr">
        <is>
          <t>Refresh this connection on Refresh All</t>
        </is>
      </c>
      <c r="B30" s="15" t="inlineStr">
        <is>
          <t>Query Properties &gt; Usage</t>
        </is>
      </c>
      <c r="C30" s="15" t="inlineStr"/>
    </row>
    <row r="31">
      <c r="A31" s="7" t="inlineStr">
        <is>
          <t>Prompt for file path via a parameter</t>
        </is>
      </c>
      <c r="B31" s="7" t="inlineStr">
        <is>
          <t>Query Editor &gt; Manage Parameters</t>
        </is>
      </c>
      <c r="C31" s="7" t="inlineStr"/>
    </row>
    <row r="33">
      <c r="A3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9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Month-end refresh routine for the reporting pack</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The pack is rebuilt on the first working day of each month. The routine lives in one analyst's head, and when she was on leave in August the pack went out with July's data because nobody pressed refresh on two of the six queries.</t>
        </is>
      </c>
    </row>
    <row r="9">
      <c r="A9" s="25" t="inlineStr">
        <is>
          <t>Source data: '3.13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Month-end refresh routine for the reporting pack</t>
        </is>
      </c>
      <c r="C13" s="38" t="inlineStr">
        <is>
          <t>A documented refresh routine in five numbered steps that a colleague can follow unaided, plus a record of what Refresh All updates that a single query refresh does not.</t>
        </is>
      </c>
      <c r="D13" s="37" t="inlineStr">
        <is>
          <t>Head of Management Reporting</t>
        </is>
      </c>
      <c r="E13" s="31" t="n"/>
    </row>
    <row r="14" ht="65" customHeight="1">
      <c r="A14" s="35" t="n">
        <v>2</v>
      </c>
      <c r="B14" s="36" t="inlineStr">
        <is>
          <t>Automatic refresh configuration</t>
        </is>
      </c>
      <c r="C14" s="38" t="inlineStr">
        <is>
          <t>The query properties configured and recorded: refresh on open, the periodic refresh decision with your reasoning, background refresh setting, and whether the connection participates in Refresh All.</t>
        </is>
      </c>
      <c r="D14" s="37" t="inlineStr">
        <is>
          <t>Head of MIS</t>
        </is>
      </c>
      <c r="E14" s="31" t="n"/>
    </row>
    <row r="15" ht="52" customHeight="1">
      <c r="A15" s="35" t="n">
        <v>3</v>
      </c>
      <c r="B15" s="36" t="inlineStr">
        <is>
          <t>Portable source path for the branch machines</t>
        </is>
      </c>
      <c r="C15" s="38" t="inlineStr">
        <is>
          <t>A parameter holding the source folder path, with the Source step pointing at it, and evidence that changing the parameter redirects the query without editing any step.</t>
        </is>
      </c>
      <c r="D15" s="37" t="inlineStr">
        <is>
          <t>Head of MIS</t>
        </is>
      </c>
      <c r="E15" s="31" t="n"/>
    </row>
    <row r="16" ht="52" customHeight="1">
      <c r="A16" s="35" t="n">
        <v>4</v>
      </c>
      <c r="B16" s="36" t="inlineStr">
        <is>
          <t>Broken source incident and recovery</t>
        </is>
      </c>
      <c r="C16" s="38" t="inlineStr">
        <is>
          <t>An incident record: break the source deliberately, record the exact error message, then repair it through the Source step without rebuilding, and confirm all steps survived.</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92.xml><?xml version="1.0" encoding="utf-8"?>
<worksheet xmlns="http://schemas.openxmlformats.org/spreadsheetml/2006/main">
  <sheetPr>
    <tabColor rgb="001F3864"/>
    <outlinePr summaryBelow="1" summaryRight="1"/>
    <pageSetUpPr/>
  </sheetPr>
  <dimension ref="A1:F30"/>
  <sheetViews>
    <sheetView showGridLines="0" workbookViewId="0">
      <pane ySplit="5" topLeftCell="A6" activePane="bottomLeft" state="frozen"/>
      <selection pane="bottomLeft" activeCell="A1" sqref="A1"/>
    </sheetView>
  </sheetViews>
  <sheetFormatPr baseColWidth="8" defaultRowHeight="15"/>
  <cols>
    <col width="34" customWidth="1" min="1" max="1"/>
    <col width="20" customWidth="1" min="2" max="2"/>
    <col width="14" customWidth="1" min="3" max="3"/>
  </cols>
  <sheetData>
    <row r="1" ht="26" customHeight="1">
      <c r="A1" s="1" t="inlineStr">
        <is>
          <t>Dataset 3.14  —  Goal Seek (Target Premium and Break-Even Calculations)</t>
        </is>
      </c>
    </row>
    <row r="2" ht="16" customHeight="1">
      <c r="A2" s="2" t="inlineStr">
        <is>
          <t>Session 3: Advanced Pivot Tables, Power Query &amp; What-If Analysis | Part C: What-If Analysis   |   Adamjee Assurance Company Limited (Pakistan) — training data, figures in PKR</t>
        </is>
      </c>
    </row>
    <row r="4">
      <c r="A4" s="9" t="inlineStr">
        <is>
          <t>Table A — Motor portfolio model inputs (build the model, then Goal Seek it)</t>
        </is>
      </c>
    </row>
    <row r="5" ht="30" customHeight="1">
      <c r="A5" s="10" t="inlineStr">
        <is>
          <t>Input</t>
        </is>
      </c>
      <c r="B5" s="10" t="inlineStr">
        <is>
          <t>Value</t>
        </is>
      </c>
      <c r="C5" s="10" t="inlineStr">
        <is>
          <t>Unit</t>
        </is>
      </c>
    </row>
    <row r="6">
      <c r="A6" s="7" t="inlineStr">
        <is>
          <t>Number of policies</t>
        </is>
      </c>
      <c r="B6" s="11" t="n">
        <v>4250</v>
      </c>
      <c r="C6" s="7" t="inlineStr">
        <is>
          <t>policies</t>
        </is>
      </c>
    </row>
    <row r="7">
      <c r="A7" s="15" t="inlineStr">
        <is>
          <t>Average sum insured</t>
        </is>
      </c>
      <c r="B7" s="14" t="n">
        <v>3800000</v>
      </c>
      <c r="C7" s="15" t="inlineStr">
        <is>
          <t>PKR</t>
        </is>
      </c>
    </row>
    <row r="8">
      <c r="A8" s="7" t="inlineStr">
        <is>
          <t>Average rate applied</t>
        </is>
      </c>
      <c r="B8" s="11" t="n">
        <v>0.0165</v>
      </c>
      <c r="C8" s="7" t="inlineStr">
        <is>
          <t>fraction</t>
        </is>
      </c>
    </row>
    <row r="9">
      <c r="A9" s="15" t="inlineStr">
        <is>
          <t>Commission rate</t>
        </is>
      </c>
      <c r="B9" s="14" t="n">
        <v>0.145</v>
      </c>
      <c r="C9" s="15" t="inlineStr">
        <is>
          <t>fraction</t>
        </is>
      </c>
    </row>
    <row r="10">
      <c r="A10" s="7" t="inlineStr">
        <is>
          <t>Management expense ratio</t>
        </is>
      </c>
      <c r="B10" s="11" t="n">
        <v>0.185</v>
      </c>
      <c r="C10" s="7" t="inlineStr">
        <is>
          <t>fraction</t>
        </is>
      </c>
    </row>
    <row r="11">
      <c r="A11" s="15" t="inlineStr">
        <is>
          <t>Reinsurance cession</t>
        </is>
      </c>
      <c r="B11" s="14" t="n">
        <v>0.3</v>
      </c>
      <c r="C11" s="15" t="inlineStr">
        <is>
          <t>fraction</t>
        </is>
      </c>
    </row>
    <row r="12">
      <c r="A12" s="7" t="inlineStr">
        <is>
          <t>Expected claims ratio</t>
        </is>
      </c>
      <c r="B12" s="11" t="n">
        <v>0.62</v>
      </c>
      <c r="C12" s="7" t="inlineStr">
        <is>
          <t>fraction</t>
        </is>
      </c>
    </row>
    <row r="13">
      <c r="A13" s="15" t="inlineStr">
        <is>
          <t>Federal insurance fee</t>
        </is>
      </c>
      <c r="B13" s="14" t="n">
        <v>0.01</v>
      </c>
      <c r="C13" s="15" t="inlineStr">
        <is>
          <t>fraction</t>
        </is>
      </c>
    </row>
    <row r="15">
      <c r="A15" s="9" t="inlineStr">
        <is>
          <t>Table B — Model lines you must build with formulas</t>
        </is>
      </c>
    </row>
    <row r="16" ht="30" customHeight="1">
      <c r="A16" s="10" t="inlineStr">
        <is>
          <t>Line</t>
        </is>
      </c>
      <c r="B16" s="10" t="inlineStr">
        <is>
          <t>Formula</t>
        </is>
      </c>
    </row>
    <row r="17">
      <c r="A17" s="7" t="inlineStr">
        <is>
          <t>Gross Written Premium</t>
        </is>
      </c>
      <c r="B17" s="7" t="inlineStr">
        <is>
          <t>Policies x Avg Sum Insured x Rate</t>
        </is>
      </c>
    </row>
    <row r="18">
      <c r="A18" s="15" t="inlineStr">
        <is>
          <t>Commission Cost</t>
        </is>
      </c>
      <c r="B18" s="15" t="inlineStr">
        <is>
          <t>GWP x Commission rate</t>
        </is>
      </c>
    </row>
    <row r="19">
      <c r="A19" s="7" t="inlineStr">
        <is>
          <t>Management Expenses</t>
        </is>
      </c>
      <c r="B19" s="7" t="inlineStr">
        <is>
          <t>GWP x Expense ratio</t>
        </is>
      </c>
    </row>
    <row r="20">
      <c r="A20" s="15" t="inlineStr">
        <is>
          <t>Expected Claims</t>
        </is>
      </c>
      <c r="B20" s="15" t="inlineStr">
        <is>
          <t>GWP x Claims ratio</t>
        </is>
      </c>
    </row>
    <row r="21">
      <c r="A21" s="7" t="inlineStr">
        <is>
          <t>Underwriting Result</t>
        </is>
      </c>
      <c r="B21" s="7" t="inlineStr">
        <is>
          <t>GWP - Commission - Expenses - Claims</t>
        </is>
      </c>
    </row>
    <row r="22">
      <c r="A22" s="15" t="inlineStr">
        <is>
          <t>Combined Ratio</t>
        </is>
      </c>
      <c r="B22" s="15" t="inlineStr">
        <is>
          <t>(Commission + Expenses + Claims) / GWP</t>
        </is>
      </c>
    </row>
    <row r="24">
      <c r="A24" s="9" t="inlineStr">
        <is>
          <t>Table C — Targets</t>
        </is>
      </c>
    </row>
    <row r="25" ht="30" customHeight="1">
      <c r="A25" s="10" t="inlineStr">
        <is>
          <t>Target</t>
        </is>
      </c>
      <c r="B25" s="10" t="inlineStr">
        <is>
          <t>Value</t>
        </is>
      </c>
    </row>
    <row r="26">
      <c r="A26" s="7" t="inlineStr">
        <is>
          <t>Target Gross Written Premium (PKR)</t>
        </is>
      </c>
      <c r="B26" s="11" t="n">
        <v>60000000</v>
      </c>
    </row>
    <row r="27">
      <c r="A27" s="15" t="inlineStr">
        <is>
          <t>Target underwriting result (PKR)</t>
        </is>
      </c>
      <c r="B27" s="14" t="n">
        <v>0</v>
      </c>
    </row>
    <row r="28">
      <c r="A28" s="7" t="inlineStr">
        <is>
          <t>Target combined ratio</t>
        </is>
      </c>
      <c r="B28" s="11" t="n">
        <v>0.95</v>
      </c>
    </row>
    <row r="30">
      <c r="A30"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9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Target Premium Rate Calculation for the Motor portfolio</t>
        </is>
      </c>
    </row>
    <row r="3">
      <c r="A3" s="21" t="inlineStr">
        <is>
          <t>Prepared for:</t>
        </is>
      </c>
      <c r="B3" s="22" t="inlineStr">
        <is>
          <t>Branch Manager, Karachi Main</t>
        </is>
      </c>
    </row>
    <row r="4">
      <c r="A4" s="21" t="inlineStr">
        <is>
          <t>Prepared by:</t>
        </is>
      </c>
      <c r="B4" s="23" t="n"/>
    </row>
    <row r="5">
      <c r="A5" s="21" t="inlineStr">
        <is>
          <t>Reporting date:</t>
        </is>
      </c>
      <c r="B5" s="22" t="inlineStr">
        <is>
          <t>As at reporting date shown on the dataset</t>
        </is>
      </c>
    </row>
    <row r="7" ht="44" customHeight="1">
      <c r="A7" s="24" t="inlineStr">
        <is>
          <t>The branch has been given a PKR 60 million motor premium target for the year. The manager needs to know what average rate that implies on the current book before he commits to it in the budget meeting on Thursday, and the analyst has been solving it by typing rates in and seeing what comes out.</t>
        </is>
      </c>
    </row>
    <row r="9">
      <c r="A9" s="25" t="inlineStr">
        <is>
          <t>Source data: '3.14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Target Premium Rate Calculation for the Motor portfolio</t>
        </is>
      </c>
      <c r="C13" s="38" t="inlineStr">
        <is>
          <t>A live motor portfolio model — GWP, commission, expenses, expected claims, underwriting result and combined ratio — all formulas driven by the input cells, plus the average rate required to hit the target, found with Goal Seek. Record the original rate before you run it.</t>
        </is>
      </c>
      <c r="D13" s="37" t="inlineStr">
        <is>
          <t>Branch Manager, Karachi Main</t>
        </is>
      </c>
      <c r="E13" s="31" t="n"/>
    </row>
    <row r="14" ht="65" customHeight="1">
      <c r="A14" s="35" t="n">
        <v>2</v>
      </c>
      <c r="B14" s="36" t="inlineStr">
        <is>
          <t>Volume alternative to the rate increase</t>
        </is>
      </c>
      <c r="C14" s="38" t="inlineStr">
        <is>
          <t>The number of policies required to hit the same PKR 60 million target at today's rate, alongside the rate answer, with a one-line comparison of which is the more realistic route for this branch.</t>
        </is>
      </c>
      <c r="D14" s="37" t="inlineStr">
        <is>
          <t>Branch Manager, Karachi Main</t>
        </is>
      </c>
      <c r="E14" s="31" t="n"/>
    </row>
    <row r="15" ht="78" customHeight="1">
      <c r="A15" s="35" t="n">
        <v>3</v>
      </c>
      <c r="B15" s="36" t="inlineStr">
        <is>
          <t>Break-even claims ratio for the CFO</t>
        </is>
      </c>
      <c r="C15" s="38" t="inlineStr">
        <is>
          <t>The break-even claims ratio — the level at which the underwriting result is exactly zero — and the commission rate that would deliver a 95% combined ratio, both found with Goal Seek and both clearly labelled with the inputs they assume.</t>
        </is>
      </c>
      <c r="D15" s="37" t="inlineStr">
        <is>
          <t>Chief Financial Officer</t>
        </is>
      </c>
      <c r="E15" s="31" t="n"/>
    </row>
    <row r="16" ht="65" customHeight="1">
      <c r="A16" s="35" t="n">
        <v>4</v>
      </c>
      <c r="B16" s="36" t="inlineStr">
        <is>
          <t>Model discipline note</t>
        </is>
      </c>
      <c r="C16" s="38" t="inlineStr">
        <is>
          <t>A discipline note recording: the original value of every input you changed, what Excel says if you try to Goal Seek a formula cell, and the one limitation that would make you reach for Solver or Scenario Manager.</t>
        </is>
      </c>
      <c r="D16" s="37" t="inlineStr">
        <is>
          <t>Head of Internal Audit</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94.xml><?xml version="1.0" encoding="utf-8"?>
<worksheet xmlns="http://schemas.openxmlformats.org/spreadsheetml/2006/main">
  <sheetPr>
    <tabColor rgb="001F3864"/>
    <outlinePr summaryBelow="1" summaryRight="1"/>
    <pageSetUpPr/>
  </sheetPr>
  <dimension ref="A1:F40"/>
  <sheetViews>
    <sheetView showGridLines="0" workbookViewId="0">
      <pane ySplit="5" topLeftCell="A6" activePane="bottomLeft" state="frozen"/>
      <selection pane="bottomLeft" activeCell="A1" sqref="A1"/>
    </sheetView>
  </sheetViews>
  <sheetFormatPr baseColWidth="8" defaultRowHeight="15"/>
  <cols>
    <col width="28" customWidth="1" min="1" max="1"/>
    <col width="46" customWidth="1" min="2" max="2"/>
  </cols>
  <sheetData>
    <row r="1" ht="26" customHeight="1">
      <c r="A1" s="1" t="inlineStr">
        <is>
          <t>Dataset 3.15  —  Data Tables (One-Variable and Two-Variable Sensitivity Analysis)</t>
        </is>
      </c>
    </row>
    <row r="2" ht="16" customHeight="1">
      <c r="A2" s="2" t="inlineStr">
        <is>
          <t>Session 3: Advanced Pivot Tables, Power Query &amp; What-If Analysis | Part C: What-If Analysis   |   Adamjee Assurance Company Limited (Pakistan) — training data, figures in PKR</t>
        </is>
      </c>
    </row>
    <row r="4">
      <c r="A4" s="9" t="inlineStr">
        <is>
          <t>Table A — Portfolio model inputs</t>
        </is>
      </c>
    </row>
    <row r="5" ht="30" customHeight="1">
      <c r="A5" s="10" t="inlineStr">
        <is>
          <t>Input</t>
        </is>
      </c>
      <c r="B5" s="10" t="inlineStr">
        <is>
          <t>Value</t>
        </is>
      </c>
    </row>
    <row r="6">
      <c r="A6" s="7" t="inlineStr">
        <is>
          <t>Number of policies</t>
        </is>
      </c>
      <c r="B6" s="11" t="n">
        <v>4250</v>
      </c>
    </row>
    <row r="7">
      <c r="A7" s="15" t="inlineStr">
        <is>
          <t>Average sum insured (PKR)</t>
        </is>
      </c>
      <c r="B7" s="14" t="n">
        <v>3800000</v>
      </c>
    </row>
    <row r="8">
      <c r="A8" s="7" t="inlineStr">
        <is>
          <t>Average rate applied</t>
        </is>
      </c>
      <c r="B8" s="11" t="n">
        <v>0.0165</v>
      </c>
    </row>
    <row r="9">
      <c r="A9" s="15" t="inlineStr">
        <is>
          <t>Commission rate</t>
        </is>
      </c>
      <c r="B9" s="14" t="n">
        <v>0.145</v>
      </c>
    </row>
    <row r="10">
      <c r="A10" s="7" t="inlineStr">
        <is>
          <t>Management expense ratio</t>
        </is>
      </c>
      <c r="B10" s="11" t="n">
        <v>0.185</v>
      </c>
    </row>
    <row r="11">
      <c r="A11" s="15" t="inlineStr">
        <is>
          <t>Expected claims ratio</t>
        </is>
      </c>
      <c r="B11" s="14" t="n">
        <v>0.62</v>
      </c>
    </row>
    <row r="13">
      <c r="A13" s="9" t="inlineStr">
        <is>
          <t>Table B — One-variable input values (claims ratio)</t>
        </is>
      </c>
    </row>
    <row r="14" ht="30" customHeight="1">
      <c r="A14" s="10" t="inlineStr">
        <is>
          <t>Claims Ratio</t>
        </is>
      </c>
    </row>
    <row r="15">
      <c r="A15" s="13" t="n">
        <v>0.45</v>
      </c>
    </row>
    <row r="16">
      <c r="A16" s="17" t="n">
        <v>0.5</v>
      </c>
    </row>
    <row r="17">
      <c r="A17" s="13" t="n">
        <v>0.55</v>
      </c>
    </row>
    <row r="18">
      <c r="A18" s="17" t="n">
        <v>0.6</v>
      </c>
    </row>
    <row r="19">
      <c r="A19" s="13" t="n">
        <v>0.62</v>
      </c>
    </row>
    <row r="20">
      <c r="A20" s="17" t="n">
        <v>0.65</v>
      </c>
    </row>
    <row r="21">
      <c r="A21" s="13" t="n">
        <v>0.7</v>
      </c>
    </row>
    <row r="22">
      <c r="A22" s="17" t="n">
        <v>0.75</v>
      </c>
    </row>
    <row r="23">
      <c r="A23" s="13" t="n">
        <v>0.8</v>
      </c>
    </row>
    <row r="24">
      <c r="A24" s="17" t="n">
        <v>0.85</v>
      </c>
    </row>
    <row r="26">
      <c r="A26" s="9" t="inlineStr">
        <is>
          <t>Table C — Two-variable grid axes</t>
        </is>
      </c>
    </row>
    <row r="27" ht="30" customHeight="1">
      <c r="A27" s="10" t="inlineStr">
        <is>
          <t>Commission Rate (across the top)</t>
        </is>
      </c>
      <c r="B27" s="10" t="inlineStr">
        <is>
          <t>Claims Ratio (down the side)</t>
        </is>
      </c>
    </row>
    <row r="28">
      <c r="A28" s="13" t="n">
        <v>0.1</v>
      </c>
      <c r="B28" s="13" t="n">
        <v>0.45</v>
      </c>
    </row>
    <row r="29">
      <c r="A29" s="17" t="n">
        <v>0.12</v>
      </c>
      <c r="B29" s="17" t="n">
        <v>0.55</v>
      </c>
    </row>
    <row r="30">
      <c r="A30" s="13" t="n">
        <v>0.145</v>
      </c>
      <c r="B30" s="13" t="n">
        <v>0.62</v>
      </c>
    </row>
    <row r="31">
      <c r="A31" s="17" t="n">
        <v>0.16</v>
      </c>
      <c r="B31" s="17" t="n">
        <v>0.7</v>
      </c>
    </row>
    <row r="32">
      <c r="A32" s="13" t="n">
        <v>0.18</v>
      </c>
      <c r="B32" s="13" t="n">
        <v>0.8</v>
      </c>
    </row>
    <row r="34">
      <c r="A34" s="9" t="inlineStr">
        <is>
          <t>Table D — Outputs to test</t>
        </is>
      </c>
    </row>
    <row r="35" ht="30" customHeight="1">
      <c r="A35" s="10" t="inlineStr">
        <is>
          <t>Output</t>
        </is>
      </c>
      <c r="B35" s="10" t="inlineStr">
        <is>
          <t>Definition</t>
        </is>
      </c>
    </row>
    <row r="36">
      <c r="A36" s="7" t="inlineStr">
        <is>
          <t>Underwriting Result (PKR)</t>
        </is>
      </c>
      <c r="B36" s="7" t="inlineStr">
        <is>
          <t>GWP - Commission - Expenses - Claims</t>
        </is>
      </c>
    </row>
    <row r="37">
      <c r="A37" s="15" t="inlineStr">
        <is>
          <t>Combined Ratio</t>
        </is>
      </c>
      <c r="B37" s="15" t="inlineStr">
        <is>
          <t>(Commission + Expenses + Claims) / GWP</t>
        </is>
      </c>
    </row>
    <row r="38">
      <c r="A38" s="7" t="inlineStr">
        <is>
          <t>Net Premium Retained (PKR)</t>
        </is>
      </c>
      <c r="B38" s="7" t="inlineStr">
        <is>
          <t>GWP x (1 - cession)</t>
        </is>
      </c>
    </row>
    <row r="40">
      <c r="A40"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9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Claims Sensitivity Schedule for the Board paper</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Board paper currently shows one underwriting result at a 62% claims ratio. The Chairman's standing question is 'and if claims come in worse?', which has twice been answered verbally with a figure calculated in the meeting.</t>
        </is>
      </c>
    </row>
    <row r="9">
      <c r="A9" s="25" t="inlineStr">
        <is>
          <t>Source data: '3.15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Claims Sensitivity Schedule for the Board paper</t>
        </is>
      </c>
      <c r="C13" s="38" t="inlineStr">
        <is>
          <t>A sensitivity schedule running from a 45% to an 85% claims ratio, showing underwriting result and combined ratio at each level, produced in one operation rather than by typing each ratio in turn.</t>
        </is>
      </c>
      <c r="D13" s="37" t="inlineStr">
        <is>
          <t>Chief Financial Officer</t>
        </is>
      </c>
      <c r="E13" s="31" t="n"/>
    </row>
    <row r="14" ht="65" customHeight="1">
      <c r="A14" s="35" t="n">
        <v>2</v>
      </c>
      <c r="B14" s="36" t="inlineStr">
        <is>
          <t>Two-variable grid — commission against claims</t>
        </is>
      </c>
      <c r="C14" s="38" t="inlineStr">
        <is>
          <t>A two-variable grid with commission rate across the top and claims ratio down the side, showing underwriting result at every combination, with the formula correctly placed in the top-left corner.</t>
        </is>
      </c>
      <c r="D14" s="37" t="inlineStr">
        <is>
          <t>Chief Financial Officer</t>
        </is>
      </c>
      <c r="E14" s="31" t="n"/>
    </row>
    <row r="15" ht="52" customHeight="1">
      <c r="A15" s="35" t="n">
        <v>3</v>
      </c>
      <c r="B15" s="36" t="inlineStr">
        <is>
          <t>Viability zone for the underwriting appetite statement</t>
        </is>
      </c>
      <c r="C15" s="38" t="inlineStr">
        <is>
          <t>The grid formatted so every combination producing a combined ratio at or below 100% is visually identifiable, plus the one-sentence appetite statement the grid supports.</t>
        </is>
      </c>
      <c r="D15" s="37" t="inlineStr">
        <is>
          <t>Chief Underwriting Officer</t>
        </is>
      </c>
      <c r="E15" s="31" t="n"/>
    </row>
    <row r="16" ht="65" customHeight="1">
      <c r="A16" s="35" t="n">
        <v>4</v>
      </c>
      <c r="B16" s="36" t="inlineStr">
        <is>
          <t>Calculation performance note</t>
        </is>
      </c>
      <c r="C16" s="38" t="inlineStr">
        <is>
          <t>A performance note: what Excel says when you try to edit one cell inside a result grid, the calculation setting that solves the slowdown, and the hard limit of data tables that forces the use of Scenario Manager.</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96.xml><?xml version="1.0" encoding="utf-8"?>
<worksheet xmlns="http://schemas.openxmlformats.org/spreadsheetml/2006/main">
  <sheetPr>
    <tabColor rgb="001F3864"/>
    <outlinePr summaryBelow="1" summaryRight="1"/>
    <pageSetUpPr/>
  </sheetPr>
  <dimension ref="A1:F26"/>
  <sheetViews>
    <sheetView showGridLines="0" workbookViewId="0">
      <pane ySplit="5" topLeftCell="A6" activePane="bottomLeft" state="frozen"/>
      <selection pane="bottomLeft" activeCell="A1" sqref="A1"/>
    </sheetView>
  </sheetViews>
  <sheetFormatPr baseColWidth="8" defaultRowHeight="15"/>
  <cols>
    <col width="30" customWidth="1" min="1" max="1"/>
    <col width="48" customWidth="1" min="2" max="2"/>
    <col width="14" customWidth="1" min="3" max="3"/>
    <col width="14" customWidth="1" min="4" max="4"/>
  </cols>
  <sheetData>
    <row r="1" ht="26" customHeight="1">
      <c r="A1" s="1" t="inlineStr">
        <is>
          <t>Dataset 3.16  —  Scenario Manager (Best Case, Worst Case, Base Case Modelling)</t>
        </is>
      </c>
    </row>
    <row r="2" ht="16" customHeight="1">
      <c r="A2" s="2" t="inlineStr">
        <is>
          <t>Session 3: Advanced Pivot Tables, Power Query &amp; What-If Analysis | Part C: What-If Analysis   |   Adamjee Assurance Company Limited (Pakistan) — training data, figures in PKR</t>
        </is>
      </c>
    </row>
    <row r="4">
      <c r="A4" s="9" t="inlineStr">
        <is>
          <t>Table A — Plan assumptions (the changing cells)</t>
        </is>
      </c>
    </row>
    <row r="5" ht="30" customHeight="1">
      <c r="A5" s="10" t="inlineStr">
        <is>
          <t>Assumption</t>
        </is>
      </c>
      <c r="B5" s="10" t="inlineStr">
        <is>
          <t>Base Case</t>
        </is>
      </c>
      <c r="C5" s="10" t="inlineStr">
        <is>
          <t>Best Case</t>
        </is>
      </c>
      <c r="D5" s="10" t="inlineStr">
        <is>
          <t>Worst Case</t>
        </is>
      </c>
    </row>
    <row r="6">
      <c r="A6" s="7" t="inlineStr">
        <is>
          <t>Policy growth rate</t>
        </is>
      </c>
      <c r="B6" s="13" t="n">
        <v>0.08</v>
      </c>
      <c r="C6" s="13" t="n">
        <v>0.15</v>
      </c>
      <c r="D6" s="13" t="n">
        <v>-0.03</v>
      </c>
    </row>
    <row r="7">
      <c r="A7" s="15" t="inlineStr">
        <is>
          <t>Average rate applied</t>
        </is>
      </c>
      <c r="B7" s="17" t="n">
        <v>0.0165</v>
      </c>
      <c r="C7" s="17" t="n">
        <v>0.0178</v>
      </c>
      <c r="D7" s="17" t="n">
        <v>0.0142</v>
      </c>
    </row>
    <row r="8">
      <c r="A8" s="7" t="inlineStr">
        <is>
          <t>Commission rate</t>
        </is>
      </c>
      <c r="B8" s="13" t="n">
        <v>0.145</v>
      </c>
      <c r="C8" s="13" t="n">
        <v>0.13</v>
      </c>
      <c r="D8" s="13" t="n">
        <v>0.168</v>
      </c>
    </row>
    <row r="9">
      <c r="A9" s="15" t="inlineStr">
        <is>
          <t>Expected claims ratio</t>
        </is>
      </c>
      <c r="B9" s="17" t="n">
        <v>0.62</v>
      </c>
      <c r="C9" s="17" t="n">
        <v>0.54</v>
      </c>
      <c r="D9" s="17" t="n">
        <v>0.78</v>
      </c>
    </row>
    <row r="10">
      <c r="A10" s="7" t="inlineStr">
        <is>
          <t>Management expense ratio</t>
        </is>
      </c>
      <c r="B10" s="13" t="n">
        <v>0.185</v>
      </c>
      <c r="C10" s="13" t="n">
        <v>0.17</v>
      </c>
      <c r="D10" s="13" t="n">
        <v>0.205</v>
      </c>
    </row>
    <row r="12">
      <c r="A12" s="9" t="inlineStr">
        <is>
          <t>Table B — Fixed inputs</t>
        </is>
      </c>
    </row>
    <row r="13" ht="30" customHeight="1">
      <c r="A13" s="10" t="inlineStr">
        <is>
          <t>Input</t>
        </is>
      </c>
      <c r="B13" s="10" t="inlineStr">
        <is>
          <t>Value</t>
        </is>
      </c>
    </row>
    <row r="14">
      <c r="A14" s="7" t="inlineStr">
        <is>
          <t>Policies in force at 31-Dec-2024</t>
        </is>
      </c>
      <c r="B14" s="11" t="n">
        <v>4250</v>
      </c>
    </row>
    <row r="15">
      <c r="A15" s="15" t="inlineStr">
        <is>
          <t>Average sum insured (PKR)</t>
        </is>
      </c>
      <c r="B15" s="14" t="n">
        <v>3800000</v>
      </c>
    </row>
    <row r="16">
      <c r="A16" s="7" t="inlineStr">
        <is>
          <t>Reinsurance cession</t>
        </is>
      </c>
      <c r="B16" s="11" t="n">
        <v>0.3</v>
      </c>
    </row>
    <row r="17">
      <c r="A17" s="15" t="inlineStr">
        <is>
          <t>Investment income (PKR)</t>
        </is>
      </c>
      <c r="B17" s="14" t="n">
        <v>14500000</v>
      </c>
    </row>
    <row r="19">
      <c r="A19" s="9" t="inlineStr">
        <is>
          <t>Table C — Result cells the Board wants</t>
        </is>
      </c>
    </row>
    <row r="20" ht="30" customHeight="1">
      <c r="A20" s="10" t="inlineStr">
        <is>
          <t>Result</t>
        </is>
      </c>
      <c r="B20" s="10" t="inlineStr">
        <is>
          <t>Definition</t>
        </is>
      </c>
    </row>
    <row r="21">
      <c r="A21" s="7" t="inlineStr">
        <is>
          <t>Gross Written Premium (PKR)</t>
        </is>
      </c>
      <c r="B21" s="7" t="inlineStr">
        <is>
          <t>Policies x (1+growth) x Avg SI x Rate</t>
        </is>
      </c>
    </row>
    <row r="22">
      <c r="A22" s="15" t="inlineStr">
        <is>
          <t>Underwriting Result (PKR)</t>
        </is>
      </c>
      <c r="B22" s="15" t="inlineStr">
        <is>
          <t>GWP - Commission - Expenses - Claims</t>
        </is>
      </c>
    </row>
    <row r="23">
      <c r="A23" s="7" t="inlineStr">
        <is>
          <t>Combined Ratio</t>
        </is>
      </c>
      <c r="B23" s="7" t="inlineStr">
        <is>
          <t>(Commission + Expenses + Claims) / GWP</t>
        </is>
      </c>
    </row>
    <row r="24">
      <c r="A24" s="15" t="inlineStr">
        <is>
          <t>Profit Before Tax (PKR)</t>
        </is>
      </c>
      <c r="B24" s="15" t="inlineStr">
        <is>
          <t>Underwriting Result + Investment income</t>
        </is>
      </c>
    </row>
    <row r="26">
      <c r="A26"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97.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2025 Business Plan — three cases for the Board</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plan goes to the Board in three cases and each case moves five assumptions at once — growth, rate, commission, claims and expenses. The three cases are currently held in three copies of the same workbook, which diverged last year when a correction was applied to only two of them.</t>
        </is>
      </c>
    </row>
    <row r="9">
      <c r="A9" s="25" t="inlineStr">
        <is>
          <t>Source data: '3.16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2025 Business Plan — three cases for the Board</t>
        </is>
      </c>
      <c r="C13" s="38" t="inlineStr">
        <is>
          <t>One model with three named scenarios — Base, Best and Worst — each changing the same five assumption cells, and four result cells: GWP, underwriting result, combined ratio and profit before tax.</t>
        </is>
      </c>
      <c r="D13" s="37" t="inlineStr">
        <is>
          <t>Chief Financial Officer</t>
        </is>
      </c>
      <c r="E13" s="31" t="n"/>
    </row>
    <row r="14" ht="52" customHeight="1">
      <c r="A14" s="35" t="n">
        <v>2</v>
      </c>
      <c r="B14" s="36" t="inlineStr">
        <is>
          <t>Scenario Summary report for the Board pack</t>
        </is>
      </c>
      <c r="C14" s="38" t="inlineStr">
        <is>
          <t>The Scenario Summary report with all four result cells, presented so a Board member can read it without explanation, and a note on why the changing cells were named first.</t>
        </is>
      </c>
      <c r="D14" s="37" t="inlineStr">
        <is>
          <t>Chief Financial Officer</t>
        </is>
      </c>
      <c r="E14" s="31" t="n"/>
    </row>
    <row r="15" ht="52" customHeight="1">
      <c r="A15" s="35" t="n">
        <v>3</v>
      </c>
      <c r="B15" s="36" t="inlineStr">
        <is>
          <t>Regulatory stress case</t>
        </is>
      </c>
      <c r="C15" s="38" t="inlineStr">
        <is>
          <t>A fourth scenario added to the existing model, with the resulting combined ratio and profit before tax reported alongside the three original cases.</t>
        </is>
      </c>
      <c r="D15" s="37" t="inlineStr">
        <is>
          <t>Chief Risk Officer</t>
        </is>
      </c>
      <c r="E15" s="31" t="n"/>
    </row>
    <row r="16" ht="52" customHeight="1">
      <c r="A16" s="35" t="n">
        <v>4</v>
      </c>
      <c r="B16" s="36" t="inlineStr">
        <is>
          <t>Board commentary</t>
        </is>
      </c>
      <c r="C16" s="38" t="inlineStr">
        <is>
          <t>The two-line commentary you would put under the scenario summary, naming the single assumption the result is most sensitive to and what management should do about it.</t>
        </is>
      </c>
      <c r="D16" s="37" t="inlineStr">
        <is>
          <t>Chief Financial Officer</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98.xml><?xml version="1.0" encoding="utf-8"?>
<worksheet xmlns="http://schemas.openxmlformats.org/spreadsheetml/2006/main">
  <sheetPr>
    <tabColor rgb="001F3864"/>
    <outlinePr summaryBelow="1" summaryRight="1"/>
    <pageSetUpPr/>
  </sheetPr>
  <dimension ref="A1:F28"/>
  <sheetViews>
    <sheetView showGridLines="0" workbookViewId="0">
      <pane ySplit="5" topLeftCell="A6" activePane="bottomLeft" state="frozen"/>
      <selection pane="bottomLeft" activeCell="A1" sqref="A1"/>
    </sheetView>
  </sheetViews>
  <sheetFormatPr baseColWidth="8" defaultRowHeight="15"/>
  <cols>
    <col width="22" customWidth="1" min="1" max="1"/>
    <col width="22" customWidth="1" min="2" max="2"/>
    <col width="22" customWidth="1" min="3" max="3"/>
    <col width="12" customWidth="1" min="4" max="4"/>
    <col width="16" customWidth="1" min="5" max="5"/>
    <col width="14" customWidth="1" min="6" max="6"/>
  </cols>
  <sheetData>
    <row r="1" ht="26" customHeight="1">
      <c r="A1" s="1" t="inlineStr">
        <is>
          <t>Dataset 4.1  —  Combo Charts (Column and Line on Secondary Axis)</t>
        </is>
      </c>
    </row>
    <row r="2" ht="16" customHeight="1">
      <c r="A2" s="2" t="inlineStr">
        <is>
          <t>Session 4: Advanced Charts, Macros &amp; Workbook Management | Part A: Advanced Charting   |   Adamjee Assurance Company Limited (Pakistan) — training data, figures in PKR</t>
        </is>
      </c>
    </row>
    <row r="4">
      <c r="A4" s="9" t="inlineStr">
        <is>
          <t>Table A — Monthly performance, Adamjee Assurance 2024</t>
        </is>
      </c>
    </row>
    <row r="5" ht="30" customHeight="1">
      <c r="A5" s="10" t="inlineStr">
        <is>
          <t>Month</t>
        </is>
      </c>
      <c r="B5" s="10" t="inlineStr">
        <is>
          <t>Gross Written Premium (PKR)</t>
        </is>
      </c>
      <c r="C5" s="10" t="inlineStr">
        <is>
          <t>Claims Paid (PKR)</t>
        </is>
      </c>
      <c r="D5" s="10" t="inlineStr">
        <is>
          <t>Loss Ratio</t>
        </is>
      </c>
      <c r="E5" s="10" t="inlineStr">
        <is>
          <t>Policies Issued</t>
        </is>
      </c>
      <c r="F5" s="10" t="inlineStr">
        <is>
          <t>Expense Ratio</t>
        </is>
      </c>
    </row>
    <row r="6">
      <c r="A6" s="7" t="inlineStr">
        <is>
          <t>Jan-2024</t>
        </is>
      </c>
      <c r="B6" s="11" t="n">
        <v>70997000</v>
      </c>
      <c r="C6" s="11" t="n">
        <v>29629000</v>
      </c>
      <c r="D6" s="13" t="n">
        <v>0.4173</v>
      </c>
      <c r="E6" s="11" t="n">
        <v>1200</v>
      </c>
      <c r="F6" s="13" t="n">
        <v>0.17</v>
      </c>
    </row>
    <row r="7">
      <c r="A7" s="15" t="inlineStr">
        <is>
          <t>Feb-2024</t>
        </is>
      </c>
      <c r="B7" s="14" t="n">
        <v>53831000</v>
      </c>
      <c r="C7" s="14" t="n">
        <v>39861000</v>
      </c>
      <c r="D7" s="17" t="n">
        <v>0.7405</v>
      </c>
      <c r="E7" s="14" t="n">
        <v>1237</v>
      </c>
      <c r="F7" s="17" t="n">
        <v>0.176</v>
      </c>
    </row>
    <row r="8">
      <c r="A8" s="7" t="inlineStr">
        <is>
          <t>Mar-2024</t>
        </is>
      </c>
      <c r="B8" s="11" t="n">
        <v>69284000</v>
      </c>
      <c r="C8" s="11" t="n">
        <v>41849000</v>
      </c>
      <c r="D8" s="13" t="n">
        <v>0.604</v>
      </c>
      <c r="E8" s="11" t="n">
        <v>1274</v>
      </c>
      <c r="F8" s="13" t="n">
        <v>0.182</v>
      </c>
    </row>
    <row r="9">
      <c r="A9" s="15" t="inlineStr">
        <is>
          <t>Apr-2024</t>
        </is>
      </c>
      <c r="B9" s="14" t="n">
        <v>58476000</v>
      </c>
      <c r="C9" s="14" t="n">
        <v>35117000</v>
      </c>
      <c r="D9" s="17" t="n">
        <v>0.6005</v>
      </c>
      <c r="E9" s="14" t="n">
        <v>1311</v>
      </c>
      <c r="F9" s="17" t="n">
        <v>0.188</v>
      </c>
    </row>
    <row r="10">
      <c r="A10" s="7" t="inlineStr">
        <is>
          <t>May-2024</t>
        </is>
      </c>
      <c r="B10" s="11" t="n">
        <v>64759000</v>
      </c>
      <c r="C10" s="11" t="n">
        <v>36418000</v>
      </c>
      <c r="D10" s="13" t="n">
        <v>0.5624</v>
      </c>
      <c r="E10" s="11" t="n">
        <v>1348</v>
      </c>
      <c r="F10" s="13" t="n">
        <v>0.194</v>
      </c>
    </row>
    <row r="11">
      <c r="A11" s="15" t="inlineStr">
        <is>
          <t>Jun-2024</t>
        </is>
      </c>
      <c r="B11" s="14" t="n">
        <v>74750000</v>
      </c>
      <c r="C11" s="14" t="n">
        <v>29571000</v>
      </c>
      <c r="D11" s="17" t="n">
        <v>0.3956</v>
      </c>
      <c r="E11" s="14" t="n">
        <v>1385</v>
      </c>
      <c r="F11" s="17" t="n">
        <v>0.17</v>
      </c>
    </row>
    <row r="12">
      <c r="A12" s="7" t="inlineStr">
        <is>
          <t>Jul-2024</t>
        </is>
      </c>
      <c r="B12" s="11" t="n">
        <v>69081000</v>
      </c>
      <c r="C12" s="11" t="n">
        <v>27449000</v>
      </c>
      <c r="D12" s="13" t="n">
        <v>0.3973</v>
      </c>
      <c r="E12" s="11" t="n">
        <v>1422</v>
      </c>
      <c r="F12" s="13" t="n">
        <v>0.176</v>
      </c>
    </row>
    <row r="13">
      <c r="A13" s="15" t="inlineStr">
        <is>
          <t>Aug-2024</t>
        </is>
      </c>
      <c r="B13" s="14" t="n">
        <v>74767000</v>
      </c>
      <c r="C13" s="14" t="n">
        <v>26781000</v>
      </c>
      <c r="D13" s="17" t="n">
        <v>0.3582</v>
      </c>
      <c r="E13" s="14" t="n">
        <v>1459</v>
      </c>
      <c r="F13" s="17" t="n">
        <v>0.182</v>
      </c>
    </row>
    <row r="14">
      <c r="A14" s="7" t="inlineStr">
        <is>
          <t>Sep-2024</t>
        </is>
      </c>
      <c r="B14" s="11" t="n">
        <v>56995000</v>
      </c>
      <c r="C14" s="11" t="n">
        <v>32638000</v>
      </c>
      <c r="D14" s="13" t="n">
        <v>0.5726</v>
      </c>
      <c r="E14" s="11" t="n">
        <v>1496</v>
      </c>
      <c r="F14" s="13" t="n">
        <v>0.188</v>
      </c>
    </row>
    <row r="15">
      <c r="A15" s="15" t="inlineStr">
        <is>
          <t>Oct-2024</t>
        </is>
      </c>
      <c r="B15" s="14" t="n">
        <v>59129000</v>
      </c>
      <c r="C15" s="14" t="n">
        <v>44634000</v>
      </c>
      <c r="D15" s="17" t="n">
        <v>0.7549</v>
      </c>
      <c r="E15" s="14" t="n">
        <v>1533</v>
      </c>
      <c r="F15" s="17" t="n">
        <v>0.194</v>
      </c>
    </row>
    <row r="16">
      <c r="A16" s="7" t="inlineStr">
        <is>
          <t>Nov-2024</t>
        </is>
      </c>
      <c r="B16" s="11" t="n">
        <v>57312000</v>
      </c>
      <c r="C16" s="11" t="n">
        <v>24054000</v>
      </c>
      <c r="D16" s="13" t="n">
        <v>0.4197</v>
      </c>
      <c r="E16" s="11" t="n">
        <v>1570</v>
      </c>
      <c r="F16" s="13" t="n">
        <v>0.17</v>
      </c>
    </row>
    <row r="17">
      <c r="A17" s="15" t="inlineStr">
        <is>
          <t>Dec-2024</t>
        </is>
      </c>
      <c r="B17" s="14" t="n">
        <v>63793000</v>
      </c>
      <c r="C17" s="14" t="n">
        <v>24613000</v>
      </c>
      <c r="D17" s="17" t="n">
        <v>0.3858</v>
      </c>
      <c r="E17" s="14" t="n">
        <v>1607</v>
      </c>
      <c r="F17" s="17" t="n">
        <v>0.176</v>
      </c>
    </row>
    <row r="19">
      <c r="A19" s="9" t="inlineStr">
        <is>
          <t>Table B — Branch comparison for the second combo chart</t>
        </is>
      </c>
    </row>
    <row r="20" ht="30" customHeight="1">
      <c r="A20" s="10" t="inlineStr">
        <is>
          <t>Branch</t>
        </is>
      </c>
      <c r="B20" s="10" t="inlineStr">
        <is>
          <t>GWP (PKR)</t>
        </is>
      </c>
      <c r="C20" s="10" t="inlineStr">
        <is>
          <t>Claims Paid (PKR)</t>
        </is>
      </c>
      <c r="D20" s="10" t="inlineStr">
        <is>
          <t>Loss Ratio</t>
        </is>
      </c>
      <c r="E20" s="10" t="inlineStr">
        <is>
          <t>Combined Ratio</t>
        </is>
      </c>
    </row>
    <row r="21">
      <c r="A21" s="7" t="inlineStr">
        <is>
          <t>Karachi Main</t>
        </is>
      </c>
      <c r="B21" s="11" t="n">
        <v>92131000</v>
      </c>
      <c r="C21" s="11" t="n">
        <v>65724000</v>
      </c>
      <c r="D21" s="13" t="n">
        <v>0.7134</v>
      </c>
      <c r="E21" s="13" t="n">
        <v>1.0434</v>
      </c>
    </row>
    <row r="22">
      <c r="A22" s="15" t="inlineStr">
        <is>
          <t>Lahore Gulberg</t>
        </is>
      </c>
      <c r="B22" s="14" t="n">
        <v>141380000</v>
      </c>
      <c r="C22" s="14" t="n">
        <v>57964000</v>
      </c>
      <c r="D22" s="17" t="n">
        <v>0.41</v>
      </c>
      <c r="E22" s="17" t="n">
        <v>0.74</v>
      </c>
    </row>
    <row r="23">
      <c r="A23" s="7" t="inlineStr">
        <is>
          <t>Islamabad Blue Area</t>
        </is>
      </c>
      <c r="B23" s="11" t="n">
        <v>104189000</v>
      </c>
      <c r="C23" s="11" t="n">
        <v>83606000</v>
      </c>
      <c r="D23" s="13" t="n">
        <v>0.8024</v>
      </c>
      <c r="E23" s="13" t="n">
        <v>1.1324</v>
      </c>
    </row>
    <row r="24">
      <c r="A24" s="15" t="inlineStr">
        <is>
          <t>Faisalabad</t>
        </is>
      </c>
      <c r="B24" s="14" t="n">
        <v>143901000</v>
      </c>
      <c r="C24" s="14" t="n">
        <v>61688000</v>
      </c>
      <c r="D24" s="17" t="n">
        <v>0.4287</v>
      </c>
      <c r="E24" s="17" t="n">
        <v>0.7587</v>
      </c>
    </row>
    <row r="25">
      <c r="A25" s="7" t="inlineStr">
        <is>
          <t>Multan</t>
        </is>
      </c>
      <c r="B25" s="11" t="n">
        <v>135817000</v>
      </c>
      <c r="C25" s="11" t="n">
        <v>65127000</v>
      </c>
      <c r="D25" s="13" t="n">
        <v>0.4795</v>
      </c>
      <c r="E25" s="13" t="n">
        <v>0.8095</v>
      </c>
    </row>
    <row r="26">
      <c r="A26" s="15" t="inlineStr">
        <is>
          <t>Peshawar</t>
        </is>
      </c>
      <c r="B26" s="14" t="n">
        <v>155756000</v>
      </c>
      <c r="C26" s="14" t="n">
        <v>58505000</v>
      </c>
      <c r="D26" s="17" t="n">
        <v>0.3756</v>
      </c>
      <c r="E26" s="17" t="n">
        <v>0.7056</v>
      </c>
    </row>
    <row r="28">
      <c r="A28"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99.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Monthly Performance Chart for the Executive pack</t>
        </is>
      </c>
    </row>
    <row r="3">
      <c r="A3" s="21" t="inlineStr">
        <is>
          <t>Prepared for:</t>
        </is>
      </c>
      <c r="B3" s="22" t="inlineStr">
        <is>
          <t>Chief Executive's office</t>
        </is>
      </c>
    </row>
    <row r="4">
      <c r="A4" s="21" t="inlineStr">
        <is>
          <t>Prepared by:</t>
        </is>
      </c>
      <c r="B4" s="23" t="n"/>
    </row>
    <row r="5">
      <c r="A5" s="21" t="inlineStr">
        <is>
          <t>Reporting date:</t>
        </is>
      </c>
      <c r="B5" s="22" t="inlineStr">
        <is>
          <t>As at reporting date shown on the dataset</t>
        </is>
      </c>
    </row>
    <row r="7" ht="44" customHeight="1">
      <c r="A7" s="24" t="inlineStr">
        <is>
          <t>The Executive pack pairs premium in millions of rupees with loss ratio as a percentage. On a single axis the loss ratio line sits flat on the baseline and is invisible, so for three months the pack has carried the premium chart with the loss ratio quoted in a footnote nobody reads.</t>
        </is>
      </c>
    </row>
    <row r="9">
      <c r="A9" s="25" t="inlineStr">
        <is>
          <t>Source data: '4.1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Monthly Performance Chart for the Executive pack</t>
        </is>
      </c>
      <c r="C13" s="38" t="inlineStr">
        <is>
          <t>A combo chart: Gross Written Premium as clustered columns on the primary axis, Loss Ratio as a line on the secondary axis scaled 0% to 100% with 20% major units, data labels on the line only.</t>
        </is>
      </c>
      <c r="D13" s="37" t="inlineStr">
        <is>
          <t>Chief Executive's office</t>
        </is>
      </c>
      <c r="E13" s="31" t="n"/>
    </row>
    <row r="14" ht="65" customHeight="1">
      <c r="A14" s="35" t="n">
        <v>2</v>
      </c>
      <c r="B14" s="36" t="inlineStr">
        <is>
          <t>Expense ratio added without losing readability</t>
        </is>
      </c>
      <c r="C14" s="38" t="inlineStr">
        <is>
          <t>The chart with expense ratio added as a second line on the secondary axis, distinguishable from the loss ratio line without relying on colour alone, and a one-line judgement on whether the chart is still readable.</t>
        </is>
      </c>
      <c r="D14" s="37" t="inlineStr">
        <is>
          <t>Chief Financial Officer</t>
        </is>
      </c>
      <c r="E14" s="31" t="n"/>
    </row>
    <row r="15" ht="52" customHeight="1">
      <c r="A15" s="35" t="n">
        <v>3</v>
      </c>
      <c r="B15" s="36" t="inlineStr">
        <is>
          <t>Branch comparison chart with a target line</t>
        </is>
      </c>
      <c r="C15" s="38" t="inlineStr">
        <is>
          <t>A branch combo chart sorted by premium descending, with a horizontal 65% target line running across the loss ratio series, so branches above target are immediately visible.</t>
        </is>
      </c>
      <c r="D15" s="37" t="inlineStr">
        <is>
          <t>Regional Head — South</t>
        </is>
      </c>
      <c r="E15" s="31" t="n"/>
    </row>
    <row r="16" ht="52" customHeight="1">
      <c r="A16" s="35" t="n">
        <v>4</v>
      </c>
      <c r="B16" s="36" t="inlineStr">
        <is>
          <t>Chart design justification</t>
        </is>
      </c>
      <c r="C16" s="38" t="inlineStr">
        <is>
          <t>A two-line justification stating when a combo chart is genuinely needed rather than two charts side by side, using the monthly premium and loss ratio example.</t>
        </is>
      </c>
      <c r="D16" s="37" t="inlineStr">
        <is>
          <t>Head of Management Reporting</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00.xml><?xml version="1.0" encoding="utf-8"?>
<worksheet xmlns="http://schemas.openxmlformats.org/spreadsheetml/2006/main">
  <sheetPr>
    <tabColor rgb="001F3864"/>
    <outlinePr summaryBelow="1" summaryRight="1"/>
    <pageSetUpPr/>
  </sheetPr>
  <dimension ref="A1:N31"/>
  <sheetViews>
    <sheetView showGridLines="0" workbookViewId="0">
      <pane ySplit="5" topLeftCell="A6" activePane="bottomLeft" state="frozen"/>
      <selection pane="bottomLef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8" customWidth="1" min="14" max="14"/>
  </cols>
  <sheetData>
    <row r="1" ht="26" customHeight="1">
      <c r="A1" s="1" t="inlineStr">
        <is>
          <t>Dataset 4.2  —  Sparklines (Line, Column, Win/Loss)</t>
        </is>
      </c>
    </row>
    <row r="2" ht="16" customHeight="1">
      <c r="A2" s="2" t="inlineStr">
        <is>
          <t>Session 4: Advanced Charts, Macros &amp; Workbook Management | Part A: Advanced Charting   |   Adamjee Assurance Company Limited (Pakistan) — training data, figures in PKR</t>
        </is>
      </c>
    </row>
    <row r="4">
      <c r="A4" s="9" t="inlineStr">
        <is>
          <t>Table A — Monthly GWP by branch (the sparkline source)</t>
        </is>
      </c>
    </row>
    <row r="5" ht="30" customHeight="1">
      <c r="A5" s="10" t="inlineStr">
        <is>
          <t>Branch</t>
        </is>
      </c>
      <c r="B5" s="10" t="inlineStr">
        <is>
          <t>Jan-2024</t>
        </is>
      </c>
      <c r="C5" s="10" t="inlineStr">
        <is>
          <t>Feb-2024</t>
        </is>
      </c>
      <c r="D5" s="10" t="inlineStr">
        <is>
          <t>Mar-2024</t>
        </is>
      </c>
      <c r="E5" s="10" t="inlineStr">
        <is>
          <t>Apr-2024</t>
        </is>
      </c>
      <c r="F5" s="10" t="inlineStr">
        <is>
          <t>May-2024</t>
        </is>
      </c>
      <c r="G5" s="10" t="inlineStr">
        <is>
          <t>Jun-2024</t>
        </is>
      </c>
      <c r="H5" s="10" t="inlineStr">
        <is>
          <t>Jul-2024</t>
        </is>
      </c>
      <c r="I5" s="10" t="inlineStr">
        <is>
          <t>Aug-2024</t>
        </is>
      </c>
      <c r="J5" s="10" t="inlineStr">
        <is>
          <t>Sep-2024</t>
        </is>
      </c>
      <c r="K5" s="10" t="inlineStr">
        <is>
          <t>Oct-2024</t>
        </is>
      </c>
      <c r="L5" s="10" t="inlineStr">
        <is>
          <t>Nov-2024</t>
        </is>
      </c>
      <c r="M5" s="10" t="inlineStr">
        <is>
          <t>Dec-2024</t>
        </is>
      </c>
      <c r="N5" s="10" t="inlineStr">
        <is>
          <t>Sparkline</t>
        </is>
      </c>
    </row>
    <row r="6">
      <c r="A6" s="7" t="inlineStr">
        <is>
          <t>Karachi Main</t>
        </is>
      </c>
      <c r="B6" s="11" t="n">
        <v>8478000</v>
      </c>
      <c r="C6" s="11" t="n">
        <v>5658000</v>
      </c>
      <c r="D6" s="11" t="n">
        <v>13810000</v>
      </c>
      <c r="E6" s="11" t="n">
        <v>4380000</v>
      </c>
      <c r="F6" s="11" t="n">
        <v>11934000</v>
      </c>
      <c r="G6" s="11" t="n">
        <v>9160000</v>
      </c>
      <c r="H6" s="11" t="n">
        <v>4145000</v>
      </c>
      <c r="I6" s="11" t="n">
        <v>11471000</v>
      </c>
      <c r="J6" s="11" t="n">
        <v>3811000</v>
      </c>
      <c r="K6" s="11" t="n">
        <v>10268000</v>
      </c>
      <c r="L6" s="11" t="n">
        <v>4338000</v>
      </c>
      <c r="M6" s="11" t="n">
        <v>4678000</v>
      </c>
      <c r="N6" s="7" t="inlineStr"/>
    </row>
    <row r="7">
      <c r="A7" s="15" t="inlineStr">
        <is>
          <t>Lahore Gulberg</t>
        </is>
      </c>
      <c r="B7" s="14" t="n">
        <v>10119000</v>
      </c>
      <c r="C7" s="14" t="n">
        <v>16677000</v>
      </c>
      <c r="D7" s="14" t="n">
        <v>5217000</v>
      </c>
      <c r="E7" s="14" t="n">
        <v>6838000</v>
      </c>
      <c r="F7" s="14" t="n">
        <v>13427000</v>
      </c>
      <c r="G7" s="14" t="n">
        <v>18647000</v>
      </c>
      <c r="H7" s="14" t="n">
        <v>12606000</v>
      </c>
      <c r="I7" s="14" t="n">
        <v>9665000</v>
      </c>
      <c r="J7" s="14" t="n">
        <v>19112000</v>
      </c>
      <c r="K7" s="14" t="n">
        <v>3959000</v>
      </c>
      <c r="L7" s="14" t="n">
        <v>17193000</v>
      </c>
      <c r="M7" s="14" t="n">
        <v>7920000</v>
      </c>
      <c r="N7" s="15" t="inlineStr"/>
    </row>
    <row r="8">
      <c r="A8" s="7" t="inlineStr">
        <is>
          <t>Islamabad Blue Area</t>
        </is>
      </c>
      <c r="B8" s="11" t="n">
        <v>5551000</v>
      </c>
      <c r="C8" s="11" t="n">
        <v>5120000</v>
      </c>
      <c r="D8" s="11" t="n">
        <v>8228000</v>
      </c>
      <c r="E8" s="11" t="n">
        <v>16502000</v>
      </c>
      <c r="F8" s="11" t="n">
        <v>6145000</v>
      </c>
      <c r="G8" s="11" t="n">
        <v>12680000</v>
      </c>
      <c r="H8" s="11" t="n">
        <v>13614000</v>
      </c>
      <c r="I8" s="11" t="n">
        <v>9270000</v>
      </c>
      <c r="J8" s="11" t="n">
        <v>12128000</v>
      </c>
      <c r="K8" s="11" t="n">
        <v>4223000</v>
      </c>
      <c r="L8" s="11" t="n">
        <v>4171000</v>
      </c>
      <c r="M8" s="11" t="n">
        <v>6557000</v>
      </c>
      <c r="N8" s="7" t="inlineStr"/>
    </row>
    <row r="9">
      <c r="A9" s="15" t="inlineStr">
        <is>
          <t>Faisalabad</t>
        </is>
      </c>
      <c r="B9" s="14" t="n">
        <v>14290000</v>
      </c>
      <c r="C9" s="14" t="n">
        <v>10169000</v>
      </c>
      <c r="D9" s="14" t="n">
        <v>8320000</v>
      </c>
      <c r="E9" s="14" t="n">
        <v>12744000</v>
      </c>
      <c r="F9" s="14" t="n">
        <v>10586000</v>
      </c>
      <c r="G9" s="14" t="n">
        <v>8086000</v>
      </c>
      <c r="H9" s="14" t="n">
        <v>16148000</v>
      </c>
      <c r="I9" s="14" t="n">
        <v>14593000</v>
      </c>
      <c r="J9" s="14" t="n">
        <v>7178000</v>
      </c>
      <c r="K9" s="14" t="n">
        <v>12563000</v>
      </c>
      <c r="L9" s="14" t="n">
        <v>11760000</v>
      </c>
      <c r="M9" s="14" t="n">
        <v>17464000</v>
      </c>
      <c r="N9" s="15" t="inlineStr"/>
    </row>
    <row r="10">
      <c r="A10" s="7" t="inlineStr">
        <is>
          <t>Multan</t>
        </is>
      </c>
      <c r="B10" s="11" t="n">
        <v>15089000</v>
      </c>
      <c r="C10" s="11" t="n">
        <v>7893000</v>
      </c>
      <c r="D10" s="11" t="n">
        <v>19176000</v>
      </c>
      <c r="E10" s="11" t="n">
        <v>5124000</v>
      </c>
      <c r="F10" s="11" t="n">
        <v>10015000</v>
      </c>
      <c r="G10" s="11" t="n">
        <v>15541000</v>
      </c>
      <c r="H10" s="11" t="n">
        <v>5677000</v>
      </c>
      <c r="I10" s="11" t="n">
        <v>11170000</v>
      </c>
      <c r="J10" s="11" t="n">
        <v>3839000</v>
      </c>
      <c r="K10" s="11" t="n">
        <v>14091000</v>
      </c>
      <c r="L10" s="11" t="n">
        <v>15662000</v>
      </c>
      <c r="M10" s="11" t="n">
        <v>12540000</v>
      </c>
      <c r="N10" s="7" t="inlineStr"/>
    </row>
    <row r="11">
      <c r="A11" s="15" t="inlineStr">
        <is>
          <t>Peshawar</t>
        </is>
      </c>
      <c r="B11" s="14" t="n">
        <v>17470000</v>
      </c>
      <c r="C11" s="14" t="n">
        <v>8314000</v>
      </c>
      <c r="D11" s="14" t="n">
        <v>14533000</v>
      </c>
      <c r="E11" s="14" t="n">
        <v>12888000</v>
      </c>
      <c r="F11" s="14" t="n">
        <v>12652000</v>
      </c>
      <c r="G11" s="14" t="n">
        <v>10636000</v>
      </c>
      <c r="H11" s="14" t="n">
        <v>16891000</v>
      </c>
      <c r="I11" s="14" t="n">
        <v>18598000</v>
      </c>
      <c r="J11" s="14" t="n">
        <v>10927000</v>
      </c>
      <c r="K11" s="14" t="n">
        <v>14025000</v>
      </c>
      <c r="L11" s="14" t="n">
        <v>4188000</v>
      </c>
      <c r="M11" s="14" t="n">
        <v>14634000</v>
      </c>
      <c r="N11" s="15" t="inlineStr"/>
    </row>
    <row r="13">
      <c r="A13" s="9" t="inlineStr">
        <is>
          <t>Table B — Monthly premium growth vs prior month (for Win/Loss)</t>
        </is>
      </c>
    </row>
    <row r="14" ht="30" customHeight="1">
      <c r="A14" s="10" t="inlineStr">
        <is>
          <t>Branch</t>
        </is>
      </c>
      <c r="B14" s="10" t="inlineStr">
        <is>
          <t>Feb-2024</t>
        </is>
      </c>
      <c r="C14" s="10" t="inlineStr">
        <is>
          <t>Mar-2024</t>
        </is>
      </c>
      <c r="D14" s="10" t="inlineStr">
        <is>
          <t>Apr-2024</t>
        </is>
      </c>
      <c r="E14" s="10" t="inlineStr">
        <is>
          <t>May-2024</t>
        </is>
      </c>
      <c r="F14" s="10" t="inlineStr">
        <is>
          <t>Jun-2024</t>
        </is>
      </c>
      <c r="G14" s="10" t="inlineStr">
        <is>
          <t>Jul-2024</t>
        </is>
      </c>
      <c r="H14" s="10" t="inlineStr">
        <is>
          <t>Aug-2024</t>
        </is>
      </c>
      <c r="I14" s="10" t="inlineStr">
        <is>
          <t>Sep-2024</t>
        </is>
      </c>
      <c r="J14" s="10" t="inlineStr">
        <is>
          <t>Oct-2024</t>
        </is>
      </c>
      <c r="K14" s="10" t="inlineStr">
        <is>
          <t>Nov-2024</t>
        </is>
      </c>
      <c r="L14" s="10" t="inlineStr">
        <is>
          <t>Dec-2024</t>
        </is>
      </c>
      <c r="M14" s="10" t="inlineStr">
        <is>
          <t>Win/Loss</t>
        </is>
      </c>
    </row>
    <row r="15">
      <c r="A15" s="7" t="inlineStr">
        <is>
          <t>Karachi Main</t>
        </is>
      </c>
      <c r="B15" s="11" t="n">
        <v>-2820000</v>
      </c>
      <c r="C15" s="11" t="n">
        <v>8152000</v>
      </c>
      <c r="D15" s="11" t="n">
        <v>-9430000</v>
      </c>
      <c r="E15" s="11" t="n">
        <v>7554000</v>
      </c>
      <c r="F15" s="11" t="n">
        <v>-2774000</v>
      </c>
      <c r="G15" s="11" t="n">
        <v>-5015000</v>
      </c>
      <c r="H15" s="11" t="n">
        <v>7326000</v>
      </c>
      <c r="I15" s="11" t="n">
        <v>-7660000</v>
      </c>
      <c r="J15" s="11" t="n">
        <v>6457000</v>
      </c>
      <c r="K15" s="11" t="n">
        <v>-5930000</v>
      </c>
      <c r="L15" s="11" t="n">
        <v>340000</v>
      </c>
      <c r="M15" s="7" t="inlineStr"/>
    </row>
    <row r="16">
      <c r="A16" s="15" t="inlineStr">
        <is>
          <t>Lahore Gulberg</t>
        </is>
      </c>
      <c r="B16" s="14" t="n">
        <v>6558000</v>
      </c>
      <c r="C16" s="14" t="n">
        <v>-11460000</v>
      </c>
      <c r="D16" s="14" t="n">
        <v>1621000</v>
      </c>
      <c r="E16" s="14" t="n">
        <v>6589000</v>
      </c>
      <c r="F16" s="14" t="n">
        <v>5220000</v>
      </c>
      <c r="G16" s="14" t="n">
        <v>-6041000</v>
      </c>
      <c r="H16" s="14" t="n">
        <v>-2941000</v>
      </c>
      <c r="I16" s="14" t="n">
        <v>9447000</v>
      </c>
      <c r="J16" s="14" t="n">
        <v>-15153000</v>
      </c>
      <c r="K16" s="14" t="n">
        <v>13234000</v>
      </c>
      <c r="L16" s="14" t="n">
        <v>-9273000</v>
      </c>
      <c r="M16" s="15" t="inlineStr"/>
    </row>
    <row r="17">
      <c r="A17" s="7" t="inlineStr">
        <is>
          <t>Islamabad Blue Area</t>
        </is>
      </c>
      <c r="B17" s="11" t="n">
        <v>-431000</v>
      </c>
      <c r="C17" s="11" t="n">
        <v>3108000</v>
      </c>
      <c r="D17" s="11" t="n">
        <v>8274000</v>
      </c>
      <c r="E17" s="11" t="n">
        <v>-10357000</v>
      </c>
      <c r="F17" s="11" t="n">
        <v>6535000</v>
      </c>
      <c r="G17" s="11" t="n">
        <v>934000</v>
      </c>
      <c r="H17" s="11" t="n">
        <v>-4344000</v>
      </c>
      <c r="I17" s="11" t="n">
        <v>2858000</v>
      </c>
      <c r="J17" s="11" t="n">
        <v>-7905000</v>
      </c>
      <c r="K17" s="11" t="n">
        <v>-52000</v>
      </c>
      <c r="L17" s="11" t="n">
        <v>2386000</v>
      </c>
      <c r="M17" s="7" t="inlineStr"/>
    </row>
    <row r="18">
      <c r="A18" s="15" t="inlineStr">
        <is>
          <t>Faisalabad</t>
        </is>
      </c>
      <c r="B18" s="14" t="n">
        <v>-4121000</v>
      </c>
      <c r="C18" s="14" t="n">
        <v>-1849000</v>
      </c>
      <c r="D18" s="14" t="n">
        <v>4424000</v>
      </c>
      <c r="E18" s="14" t="n">
        <v>-2158000</v>
      </c>
      <c r="F18" s="14" t="n">
        <v>-2500000</v>
      </c>
      <c r="G18" s="14" t="n">
        <v>8062000</v>
      </c>
      <c r="H18" s="14" t="n">
        <v>-1555000</v>
      </c>
      <c r="I18" s="14" t="n">
        <v>-7415000</v>
      </c>
      <c r="J18" s="14" t="n">
        <v>5385000</v>
      </c>
      <c r="K18" s="14" t="n">
        <v>-803000</v>
      </c>
      <c r="L18" s="14" t="n">
        <v>5704000</v>
      </c>
      <c r="M18" s="15" t="inlineStr"/>
    </row>
    <row r="19">
      <c r="A19" s="7" t="inlineStr">
        <is>
          <t>Multan</t>
        </is>
      </c>
      <c r="B19" s="11" t="n">
        <v>-7196000</v>
      </c>
      <c r="C19" s="11" t="n">
        <v>11283000</v>
      </c>
      <c r="D19" s="11" t="n">
        <v>-14052000</v>
      </c>
      <c r="E19" s="11" t="n">
        <v>4891000</v>
      </c>
      <c r="F19" s="11" t="n">
        <v>5526000</v>
      </c>
      <c r="G19" s="11" t="n">
        <v>-9864000</v>
      </c>
      <c r="H19" s="11" t="n">
        <v>5493000</v>
      </c>
      <c r="I19" s="11" t="n">
        <v>-7331000</v>
      </c>
      <c r="J19" s="11" t="n">
        <v>10252000</v>
      </c>
      <c r="K19" s="11" t="n">
        <v>1571000</v>
      </c>
      <c r="L19" s="11" t="n">
        <v>-3122000</v>
      </c>
      <c r="M19" s="7" t="inlineStr"/>
    </row>
    <row r="20">
      <c r="A20" s="15" t="inlineStr">
        <is>
          <t>Peshawar</t>
        </is>
      </c>
      <c r="B20" s="14" t="n">
        <v>-9156000</v>
      </c>
      <c r="C20" s="14" t="n">
        <v>6219000</v>
      </c>
      <c r="D20" s="14" t="n">
        <v>-1645000</v>
      </c>
      <c r="E20" s="14" t="n">
        <v>-236000</v>
      </c>
      <c r="F20" s="14" t="n">
        <v>-2016000</v>
      </c>
      <c r="G20" s="14" t="n">
        <v>6255000</v>
      </c>
      <c r="H20" s="14" t="n">
        <v>1707000</v>
      </c>
      <c r="I20" s="14" t="n">
        <v>-7671000</v>
      </c>
      <c r="J20" s="14" t="n">
        <v>3098000</v>
      </c>
      <c r="K20" s="14" t="n">
        <v>-9837000</v>
      </c>
      <c r="L20" s="14" t="n">
        <v>10446000</v>
      </c>
      <c r="M20" s="15" t="inlineStr"/>
    </row>
    <row r="22">
      <c r="A22" s="9" t="inlineStr">
        <is>
          <t>Table C — Monthly claim counts by branch (for Column sparklines)</t>
        </is>
      </c>
    </row>
    <row r="23" ht="30" customHeight="1">
      <c r="A23" s="10" t="inlineStr">
        <is>
          <t>Branch</t>
        </is>
      </c>
      <c r="B23" s="10" t="inlineStr">
        <is>
          <t>Jan-2024</t>
        </is>
      </c>
      <c r="C23" s="10" t="inlineStr">
        <is>
          <t>Feb-2024</t>
        </is>
      </c>
      <c r="D23" s="10" t="inlineStr">
        <is>
          <t>Mar-2024</t>
        </is>
      </c>
      <c r="E23" s="10" t="inlineStr">
        <is>
          <t>Apr-2024</t>
        </is>
      </c>
      <c r="F23" s="10" t="inlineStr">
        <is>
          <t>May-2024</t>
        </is>
      </c>
      <c r="G23" s="10" t="inlineStr">
        <is>
          <t>Jun-2024</t>
        </is>
      </c>
      <c r="H23" s="10" t="inlineStr">
        <is>
          <t>Jul-2024</t>
        </is>
      </c>
      <c r="I23" s="10" t="inlineStr">
        <is>
          <t>Aug-2024</t>
        </is>
      </c>
      <c r="J23" s="10" t="inlineStr">
        <is>
          <t>Sep-2024</t>
        </is>
      </c>
      <c r="K23" s="10" t="inlineStr">
        <is>
          <t>Oct-2024</t>
        </is>
      </c>
      <c r="L23" s="10" t="inlineStr">
        <is>
          <t>Nov-2024</t>
        </is>
      </c>
      <c r="M23" s="10" t="inlineStr">
        <is>
          <t>Dec-2024</t>
        </is>
      </c>
      <c r="N23" s="10" t="inlineStr">
        <is>
          <t>Claim Trend</t>
        </is>
      </c>
    </row>
    <row r="24">
      <c r="A24" s="7" t="inlineStr">
        <is>
          <t>Karachi Main</t>
        </is>
      </c>
      <c r="B24" s="11" t="n">
        <v>10</v>
      </c>
      <c r="C24" s="11" t="n">
        <v>16</v>
      </c>
      <c r="D24" s="11" t="n">
        <v>40</v>
      </c>
      <c r="E24" s="11" t="n">
        <v>47</v>
      </c>
      <c r="F24" s="11" t="n">
        <v>46</v>
      </c>
      <c r="G24" s="11" t="n">
        <v>46</v>
      </c>
      <c r="H24" s="11" t="n">
        <v>13</v>
      </c>
      <c r="I24" s="11" t="n">
        <v>45</v>
      </c>
      <c r="J24" s="11" t="n">
        <v>50</v>
      </c>
      <c r="K24" s="11" t="n">
        <v>60</v>
      </c>
      <c r="L24" s="11" t="n">
        <v>29</v>
      </c>
      <c r="M24" s="11" t="n">
        <v>52</v>
      </c>
      <c r="N24" s="7" t="inlineStr"/>
    </row>
    <row r="25">
      <c r="A25" s="15" t="inlineStr">
        <is>
          <t>Lahore Gulberg</t>
        </is>
      </c>
      <c r="B25" s="14" t="n">
        <v>43</v>
      </c>
      <c r="C25" s="14" t="n">
        <v>28</v>
      </c>
      <c r="D25" s="14" t="n">
        <v>50</v>
      </c>
      <c r="E25" s="14" t="n">
        <v>9</v>
      </c>
      <c r="F25" s="14" t="n">
        <v>21</v>
      </c>
      <c r="G25" s="14" t="n">
        <v>16</v>
      </c>
      <c r="H25" s="14" t="n">
        <v>50</v>
      </c>
      <c r="I25" s="14" t="n">
        <v>62</v>
      </c>
      <c r="J25" s="14" t="n">
        <v>14</v>
      </c>
      <c r="K25" s="14" t="n">
        <v>13</v>
      </c>
      <c r="L25" s="14" t="n">
        <v>19</v>
      </c>
      <c r="M25" s="14" t="n">
        <v>35</v>
      </c>
      <c r="N25" s="15" t="inlineStr"/>
    </row>
    <row r="26">
      <c r="A26" s="7" t="inlineStr">
        <is>
          <t>Islamabad Blue Area</t>
        </is>
      </c>
      <c r="B26" s="11" t="n">
        <v>15</v>
      </c>
      <c r="C26" s="11" t="n">
        <v>41</v>
      </c>
      <c r="D26" s="11" t="n">
        <v>34</v>
      </c>
      <c r="E26" s="11" t="n">
        <v>57</v>
      </c>
      <c r="F26" s="11" t="n">
        <v>50</v>
      </c>
      <c r="G26" s="11" t="n">
        <v>58</v>
      </c>
      <c r="H26" s="11" t="n">
        <v>27</v>
      </c>
      <c r="I26" s="11" t="n">
        <v>52</v>
      </c>
      <c r="J26" s="11" t="n">
        <v>11</v>
      </c>
      <c r="K26" s="11" t="n">
        <v>14</v>
      </c>
      <c r="L26" s="11" t="n">
        <v>26</v>
      </c>
      <c r="M26" s="11" t="n">
        <v>13</v>
      </c>
      <c r="N26" s="7" t="inlineStr"/>
    </row>
    <row r="27">
      <c r="A27" s="15" t="inlineStr">
        <is>
          <t>Faisalabad</t>
        </is>
      </c>
      <c r="B27" s="14" t="n">
        <v>23</v>
      </c>
      <c r="C27" s="14" t="n">
        <v>64</v>
      </c>
      <c r="D27" s="14" t="n">
        <v>49</v>
      </c>
      <c r="E27" s="14" t="n">
        <v>51</v>
      </c>
      <c r="F27" s="14" t="n">
        <v>29</v>
      </c>
      <c r="G27" s="14" t="n">
        <v>52</v>
      </c>
      <c r="H27" s="14" t="n">
        <v>54</v>
      </c>
      <c r="I27" s="14" t="n">
        <v>57</v>
      </c>
      <c r="J27" s="14" t="n">
        <v>26</v>
      </c>
      <c r="K27" s="14" t="n">
        <v>48</v>
      </c>
      <c r="L27" s="14" t="n">
        <v>12</v>
      </c>
      <c r="M27" s="14" t="n">
        <v>48</v>
      </c>
      <c r="N27" s="15" t="inlineStr"/>
    </row>
    <row r="28">
      <c r="A28" s="7" t="inlineStr">
        <is>
          <t>Multan</t>
        </is>
      </c>
      <c r="B28" s="11" t="n">
        <v>10</v>
      </c>
      <c r="C28" s="11" t="n">
        <v>13</v>
      </c>
      <c r="D28" s="11" t="n">
        <v>45</v>
      </c>
      <c r="E28" s="11" t="n">
        <v>15</v>
      </c>
      <c r="F28" s="11" t="n">
        <v>52</v>
      </c>
      <c r="G28" s="11" t="n">
        <v>50</v>
      </c>
      <c r="H28" s="11" t="n">
        <v>10</v>
      </c>
      <c r="I28" s="11" t="n">
        <v>26</v>
      </c>
      <c r="J28" s="11" t="n">
        <v>62</v>
      </c>
      <c r="K28" s="11" t="n">
        <v>13</v>
      </c>
      <c r="L28" s="11" t="n">
        <v>16</v>
      </c>
      <c r="M28" s="11" t="n">
        <v>11</v>
      </c>
      <c r="N28" s="7" t="inlineStr"/>
    </row>
    <row r="29">
      <c r="A29" s="15" t="inlineStr">
        <is>
          <t>Peshawar</t>
        </is>
      </c>
      <c r="B29" s="14" t="n">
        <v>40</v>
      </c>
      <c r="C29" s="14" t="n">
        <v>39</v>
      </c>
      <c r="D29" s="14" t="n">
        <v>47</v>
      </c>
      <c r="E29" s="14" t="n">
        <v>38</v>
      </c>
      <c r="F29" s="14" t="n">
        <v>20</v>
      </c>
      <c r="G29" s="14" t="n">
        <v>40</v>
      </c>
      <c r="H29" s="14" t="n">
        <v>14</v>
      </c>
      <c r="I29" s="14" t="n">
        <v>63</v>
      </c>
      <c r="J29" s="14" t="n">
        <v>31</v>
      </c>
      <c r="K29" s="14" t="n">
        <v>57</v>
      </c>
      <c r="L29" s="14" t="n">
        <v>8</v>
      </c>
      <c r="M29" s="14" t="n">
        <v>23</v>
      </c>
      <c r="N29" s="15" t="inlineStr"/>
    </row>
    <row r="31">
      <c r="A31"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0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One-page Branch Scorecard with in-cell trends</t>
        </is>
      </c>
    </row>
    <row r="3">
      <c r="A3" s="21" t="inlineStr">
        <is>
          <t>Prepared for:</t>
        </is>
      </c>
      <c r="B3" s="22" t="inlineStr">
        <is>
          <t>Regional Head — Central</t>
        </is>
      </c>
    </row>
    <row r="4">
      <c r="A4" s="21" t="inlineStr">
        <is>
          <t>Prepared by:</t>
        </is>
      </c>
      <c r="B4" s="23" t="n"/>
    </row>
    <row r="5">
      <c r="A5" s="21" t="inlineStr">
        <is>
          <t>Reporting date:</t>
        </is>
      </c>
      <c r="B5" s="22" t="inlineStr">
        <is>
          <t>As at reporting date shown on the dataset</t>
        </is>
      </c>
    </row>
    <row r="7" ht="44" customHeight="1">
      <c r="A7" s="24" t="inlineStr">
        <is>
          <t>The scorecard must fit on one page for the Monday call. Twelve monthly charts will not fit, and the current compromise shows only the latest month, which is why a branch declining steadily all year was first discussed in October.</t>
        </is>
      </c>
    </row>
    <row r="9">
      <c r="A9" s="25" t="inlineStr">
        <is>
          <t>Source data: '4.2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One-page Branch Scorecard with in-cell trends</t>
        </is>
      </c>
      <c r="C13" s="38" t="inlineStr">
        <is>
          <t>A scorecard with a twelve-month line sparkline in a single cell beside each branch, with the high and low points marked in a contrasting colour, inserted for all six branches in one operation.</t>
        </is>
      </c>
      <c r="D13" s="37" t="inlineStr">
        <is>
          <t>Regional Head — Central</t>
        </is>
      </c>
      <c r="E13" s="31" t="n"/>
    </row>
    <row r="14" ht="52" customHeight="1">
      <c r="A14" s="35" t="n">
        <v>2</v>
      </c>
      <c r="B14" s="36" t="inlineStr">
        <is>
          <t>Comparable scaling across branches</t>
        </is>
      </c>
      <c r="C14" s="38" t="inlineStr">
        <is>
          <t>The sparklines set to a common vertical axis minimum and maximum, with a note on what changed visually and why the common scale matters for comparison.</t>
        </is>
      </c>
      <c r="D14" s="37" t="inlineStr">
        <is>
          <t>Regional Head — Central</t>
        </is>
      </c>
      <c r="E14" s="31" t="n"/>
    </row>
    <row r="15" ht="65" customHeight="1">
      <c r="A15" s="35" t="n">
        <v>3</v>
      </c>
      <c r="B15" s="36" t="inlineStr">
        <is>
          <t>Growth direction and claim volume views</t>
        </is>
      </c>
      <c r="C15" s="38" t="inlineStr">
        <is>
          <t>Win/Loss sparklines on the month-on-month growth figures and column sparklines on the claim counts, each in its own column, with a one-line interpretation of what the Win/Loss view shows that the line view does not.</t>
        </is>
      </c>
      <c r="D15" s="37" t="inlineStr">
        <is>
          <t>Head of Claims Operations</t>
        </is>
      </c>
      <c r="E15" s="31" t="n"/>
    </row>
    <row r="16" ht="52" customHeight="1">
      <c r="A16" s="35" t="n">
        <v>4</v>
      </c>
      <c r="B16" s="36" t="inlineStr">
        <is>
          <t>Empty-period handling note</t>
        </is>
      </c>
      <c r="C16" s="38" t="inlineStr">
        <is>
          <t>The empty-cell setting chosen and recorded, with your reasoning on which of gaps, zero or connect is honest for premium data, plus the correct way to remove a sparkline.</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02.xml><?xml version="1.0" encoding="utf-8"?>
<worksheet xmlns="http://schemas.openxmlformats.org/spreadsheetml/2006/main">
  <sheetPr>
    <tabColor rgb="001F3864"/>
    <outlinePr summaryBelow="1" summaryRight="1"/>
    <pageSetUpPr/>
  </sheetPr>
  <dimension ref="A1:F39"/>
  <sheetViews>
    <sheetView showGridLines="0"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s>
  <sheetData>
    <row r="1" ht="26" customHeight="1">
      <c r="A1" s="1" t="inlineStr">
        <is>
          <t>Dataset 4.3  —  Waterfall Charts (Premium vs Claims Reconciliation)</t>
        </is>
      </c>
    </row>
    <row r="2" ht="16" customHeight="1">
      <c r="A2" s="2" t="inlineStr">
        <is>
          <t>Session 4: Advanced Charts, Macros &amp; Workbook Management | Part A: Advanced Charting   |   Adamjee Assurance Company Limited (Pakistan) — training data, figures in PKR</t>
        </is>
      </c>
    </row>
    <row r="4">
      <c r="A4" s="9" t="inlineStr">
        <is>
          <t>Table A — Underwriting result bridge, FY2024 (PKR)</t>
        </is>
      </c>
    </row>
    <row r="5" ht="30" customHeight="1">
      <c r="A5" s="10" t="inlineStr">
        <is>
          <t>Step</t>
        </is>
      </c>
      <c r="B5" s="10" t="inlineStr">
        <is>
          <t>Amount (PKR)</t>
        </is>
      </c>
      <c r="C5" s="10" t="inlineStr">
        <is>
          <t>Type</t>
        </is>
      </c>
    </row>
    <row r="6">
      <c r="A6" s="7" t="inlineStr">
        <is>
          <t>Gross Written Premium</t>
        </is>
      </c>
      <c r="B6" s="11" t="n">
        <v>486500000</v>
      </c>
      <c r="C6" s="7" t="inlineStr">
        <is>
          <t>Total</t>
        </is>
      </c>
    </row>
    <row r="7">
      <c r="A7" s="15" t="inlineStr">
        <is>
          <t>Reinsurance Ceded</t>
        </is>
      </c>
      <c r="B7" s="14" t="n">
        <v>-145950000</v>
      </c>
      <c r="C7" s="15" t="inlineStr">
        <is>
          <t>Decrease</t>
        </is>
      </c>
    </row>
    <row r="8">
      <c r="A8" s="7" t="inlineStr">
        <is>
          <t>Unearned Premium Movement</t>
        </is>
      </c>
      <c r="B8" s="11" t="n">
        <v>-28400000</v>
      </c>
      <c r="C8" s="7" t="inlineStr">
        <is>
          <t>Decrease</t>
        </is>
      </c>
    </row>
    <row r="9">
      <c r="A9" s="15" t="inlineStr">
        <is>
          <t>Net Premium Earned</t>
        </is>
      </c>
      <c r="B9" s="14" t="n">
        <v>312150000</v>
      </c>
      <c r="C9" s="15" t="inlineStr">
        <is>
          <t>Subtotal</t>
        </is>
      </c>
    </row>
    <row r="10">
      <c r="A10" s="7" t="inlineStr">
        <is>
          <t>Claims Paid</t>
        </is>
      </c>
      <c r="B10" s="11" t="n">
        <v>-186300000</v>
      </c>
      <c r="C10" s="7" t="inlineStr">
        <is>
          <t>Decrease</t>
        </is>
      </c>
    </row>
    <row r="11">
      <c r="A11" s="15" t="inlineStr">
        <is>
          <t>Claims Recoveries from Reinsurers</t>
        </is>
      </c>
      <c r="B11" s="14" t="n">
        <v>41200000</v>
      </c>
      <c r="C11" s="15" t="inlineStr">
        <is>
          <t>Increase</t>
        </is>
      </c>
    </row>
    <row r="12">
      <c r="A12" s="7" t="inlineStr">
        <is>
          <t>Outstanding Claims Movement</t>
        </is>
      </c>
      <c r="B12" s="11" t="n">
        <v>-19800000</v>
      </c>
      <c r="C12" s="7" t="inlineStr">
        <is>
          <t>Decrease</t>
        </is>
      </c>
    </row>
    <row r="13">
      <c r="A13" s="15" t="inlineStr">
        <is>
          <t>Commission Expense</t>
        </is>
      </c>
      <c r="B13" s="14" t="n">
        <v>-52400000</v>
      </c>
      <c r="C13" s="15" t="inlineStr">
        <is>
          <t>Decrease</t>
        </is>
      </c>
    </row>
    <row r="14">
      <c r="A14" s="7" t="inlineStr">
        <is>
          <t>Management Expenses</t>
        </is>
      </c>
      <c r="B14" s="11" t="n">
        <v>-58900000</v>
      </c>
      <c r="C14" s="7" t="inlineStr">
        <is>
          <t>Decrease</t>
        </is>
      </c>
    </row>
    <row r="15">
      <c r="A15" s="15" t="inlineStr">
        <is>
          <t>Underwriting Result</t>
        </is>
      </c>
      <c r="B15" s="14" t="n">
        <v>35950000</v>
      </c>
      <c r="C15" s="15" t="inlineStr">
        <is>
          <t>Total</t>
        </is>
      </c>
    </row>
    <row r="17">
      <c r="A17" s="9" t="inlineStr">
        <is>
          <t>Table B — Helper columns for the manual (stacked column) method</t>
        </is>
      </c>
    </row>
    <row r="18" ht="30" customHeight="1">
      <c r="A18" s="10" t="inlineStr">
        <is>
          <t>Column</t>
        </is>
      </c>
      <c r="B18" s="10" t="inlineStr">
        <is>
          <t>Purpose</t>
        </is>
      </c>
      <c r="C18" s="10" t="inlineStr">
        <is>
          <t>Formula logic</t>
        </is>
      </c>
    </row>
    <row r="19">
      <c r="A19" s="7" t="inlineStr">
        <is>
          <t>Base (invisible)</t>
        </is>
      </c>
      <c r="B19" s="7" t="inlineStr">
        <is>
          <t>Pushes the visible bar to the right height</t>
        </is>
      </c>
      <c r="C19" s="7" t="inlineStr">
        <is>
          <t>Running total before this step</t>
        </is>
      </c>
    </row>
    <row r="20">
      <c r="A20" s="15" t="inlineStr">
        <is>
          <t>Increase</t>
        </is>
      </c>
      <c r="B20" s="15" t="inlineStr">
        <is>
          <t>Green bar</t>
        </is>
      </c>
      <c r="C20" s="15" t="inlineStr">
        <is>
          <t>Amount if positive, else 0</t>
        </is>
      </c>
    </row>
    <row r="21">
      <c r="A21" s="7" t="inlineStr">
        <is>
          <t>Decrease</t>
        </is>
      </c>
      <c r="B21" s="7" t="inlineStr">
        <is>
          <t>Red bar</t>
        </is>
      </c>
      <c r="C21" s="7" t="inlineStr">
        <is>
          <t>Absolute amount if negative, else 0</t>
        </is>
      </c>
    </row>
    <row r="22">
      <c r="A22" s="15" t="inlineStr">
        <is>
          <t>Total</t>
        </is>
      </c>
      <c r="B22" s="15" t="inlineStr">
        <is>
          <t>Grey pillar</t>
        </is>
      </c>
      <c r="C22" s="15" t="inlineStr">
        <is>
          <t>Full value for Total / Subtotal rows only</t>
        </is>
      </c>
    </row>
    <row r="24">
      <c r="A24" s="9" t="inlineStr">
        <is>
          <t>Table C — Monthly premium vs claims bridge</t>
        </is>
      </c>
    </row>
    <row r="25" ht="30" customHeight="1">
      <c r="A25" s="10" t="inlineStr">
        <is>
          <t>Month</t>
        </is>
      </c>
      <c r="B25" s="10" t="inlineStr">
        <is>
          <t>Premium In (PKR)</t>
        </is>
      </c>
      <c r="C25" s="10" t="inlineStr">
        <is>
          <t>Claims Out (PKR)</t>
        </is>
      </c>
      <c r="D25" s="10" t="inlineStr">
        <is>
          <t>Net Movement (PKR)</t>
        </is>
      </c>
    </row>
    <row r="26">
      <c r="A26" s="7" t="inlineStr">
        <is>
          <t>Jan-2024</t>
        </is>
      </c>
      <c r="B26" s="11" t="n">
        <v>70997000</v>
      </c>
      <c r="C26" s="11" t="n">
        <v>-29629000</v>
      </c>
      <c r="D26" s="11" t="n">
        <v>41368000</v>
      </c>
    </row>
    <row r="27">
      <c r="A27" s="15" t="inlineStr">
        <is>
          <t>Feb-2024</t>
        </is>
      </c>
      <c r="B27" s="14" t="n">
        <v>53831000</v>
      </c>
      <c r="C27" s="14" t="n">
        <v>-39861000</v>
      </c>
      <c r="D27" s="14" t="n">
        <v>13970000</v>
      </c>
    </row>
    <row r="28">
      <c r="A28" s="7" t="inlineStr">
        <is>
          <t>Mar-2024</t>
        </is>
      </c>
      <c r="B28" s="11" t="n">
        <v>69284000</v>
      </c>
      <c r="C28" s="11" t="n">
        <v>-41849000</v>
      </c>
      <c r="D28" s="11" t="n">
        <v>27435000</v>
      </c>
    </row>
    <row r="29">
      <c r="A29" s="15" t="inlineStr">
        <is>
          <t>Apr-2024</t>
        </is>
      </c>
      <c r="B29" s="14" t="n">
        <v>58476000</v>
      </c>
      <c r="C29" s="14" t="n">
        <v>-35117000</v>
      </c>
      <c r="D29" s="14" t="n">
        <v>23359000</v>
      </c>
    </row>
    <row r="30">
      <c r="A30" s="7" t="inlineStr">
        <is>
          <t>May-2024</t>
        </is>
      </c>
      <c r="B30" s="11" t="n">
        <v>64759000</v>
      </c>
      <c r="C30" s="11" t="n">
        <v>-36418000</v>
      </c>
      <c r="D30" s="11" t="n">
        <v>28341000</v>
      </c>
    </row>
    <row r="31">
      <c r="A31" s="15" t="inlineStr">
        <is>
          <t>Jun-2024</t>
        </is>
      </c>
      <c r="B31" s="14" t="n">
        <v>74750000</v>
      </c>
      <c r="C31" s="14" t="n">
        <v>-29571000</v>
      </c>
      <c r="D31" s="14" t="n">
        <v>45179000</v>
      </c>
    </row>
    <row r="32">
      <c r="A32" s="7" t="inlineStr">
        <is>
          <t>Jul-2024</t>
        </is>
      </c>
      <c r="B32" s="11" t="n">
        <v>69081000</v>
      </c>
      <c r="C32" s="11" t="n">
        <v>-27449000</v>
      </c>
      <c r="D32" s="11" t="n">
        <v>41632000</v>
      </c>
    </row>
    <row r="33">
      <c r="A33" s="15" t="inlineStr">
        <is>
          <t>Aug-2024</t>
        </is>
      </c>
      <c r="B33" s="14" t="n">
        <v>74767000</v>
      </c>
      <c r="C33" s="14" t="n">
        <v>-26781000</v>
      </c>
      <c r="D33" s="14" t="n">
        <v>47986000</v>
      </c>
    </row>
    <row r="34">
      <c r="A34" s="7" t="inlineStr">
        <is>
          <t>Sep-2024</t>
        </is>
      </c>
      <c r="B34" s="11" t="n">
        <v>56995000</v>
      </c>
      <c r="C34" s="11" t="n">
        <v>-32638000</v>
      </c>
      <c r="D34" s="11" t="n">
        <v>24357000</v>
      </c>
    </row>
    <row r="35">
      <c r="A35" s="15" t="inlineStr">
        <is>
          <t>Oct-2024</t>
        </is>
      </c>
      <c r="B35" s="14" t="n">
        <v>59129000</v>
      </c>
      <c r="C35" s="14" t="n">
        <v>-44634000</v>
      </c>
      <c r="D35" s="14" t="n">
        <v>14495000</v>
      </c>
    </row>
    <row r="36">
      <c r="A36" s="7" t="inlineStr">
        <is>
          <t>Nov-2024</t>
        </is>
      </c>
      <c r="B36" s="11" t="n">
        <v>57312000</v>
      </c>
      <c r="C36" s="11" t="n">
        <v>-24054000</v>
      </c>
      <c r="D36" s="11" t="n">
        <v>33258000</v>
      </c>
    </row>
    <row r="37">
      <c r="A37" s="15" t="inlineStr">
        <is>
          <t>Dec-2024</t>
        </is>
      </c>
      <c r="B37" s="14" t="n">
        <v>63793000</v>
      </c>
      <c r="C37" s="14" t="n">
        <v>-24613000</v>
      </c>
      <c r="D37" s="14" t="n">
        <v>39180000</v>
      </c>
    </row>
    <row r="39">
      <c r="A3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0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Underwriting Result Bridge for the Board pack</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Board's single most-discussed slide is how gross written premium becomes underwriting result. It is currently a table of ten numbers and the Chairman asked last quarter for it to be shown 'the way the auditors draw it'.</t>
        </is>
      </c>
    </row>
    <row r="9">
      <c r="A9" s="25" t="inlineStr">
        <is>
          <t>Source data: '4.3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Underwriting Result Bridge for the Board pack</t>
        </is>
      </c>
      <c r="C13" s="38" t="inlineStr">
        <is>
          <t>A waterfall chart of the ten-step bridge from Gross Written Premium to Underwriting Result, with Gross Written Premium, Net Premium Earned and Underwriting Result set as totals, increases green, decreases red, totals grey, labels in millions.</t>
        </is>
      </c>
      <c r="D13" s="37" t="inlineStr">
        <is>
          <t>Chief Financial Officer</t>
        </is>
      </c>
      <c r="E13" s="31" t="n"/>
    </row>
    <row r="14" ht="65" customHeight="1">
      <c r="A14" s="35" t="n">
        <v>2</v>
      </c>
      <c r="B14" s="36" t="inlineStr">
        <is>
          <t>Version for the branches still on Excel 2010</t>
        </is>
      </c>
      <c r="C14" s="38" t="inlineStr">
        <is>
          <t>The same bridge rebuilt as a stacked column chart using base, increase, decrease and total helper columns, with the base series formatted as no fill, and the base column formula shown.</t>
        </is>
      </c>
      <c r="D14" s="37" t="inlineStr">
        <is>
          <t>Head of MIS</t>
        </is>
      </c>
      <c r="E14" s="31" t="n"/>
    </row>
    <row r="15" ht="65" customHeight="1">
      <c r="A15" s="35" t="n">
        <v>3</v>
      </c>
      <c r="B15" s="36" t="inlineStr">
        <is>
          <t>Monthly premium versus claims bridge</t>
        </is>
      </c>
      <c r="C15" s="38" t="inlineStr">
        <is>
          <t>A twelve-step waterfall from an opening position through each month's net movement to a closing position, with the months that consumed rather than generated funds clearly identifiable.</t>
        </is>
      </c>
      <c r="D15" s="37" t="inlineStr">
        <is>
          <t>Regional Head — South</t>
        </is>
      </c>
      <c r="E15" s="31" t="n"/>
    </row>
    <row r="16" ht="52" customHeight="1">
      <c r="A16" s="35" t="n">
        <v>4</v>
      </c>
      <c r="B16" s="36" t="inlineStr">
        <is>
          <t>Method recommendation for the reporting standard</t>
        </is>
      </c>
      <c r="C16" s="38" t="inlineStr">
        <is>
          <t>A two-line recommendation naming one advantage of the manual stacked-column method over the native waterfall chart, and which method you would make the Adamjee standard.</t>
        </is>
      </c>
      <c r="D16" s="37" t="inlineStr">
        <is>
          <t>Head of Management Reporting</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04.xml><?xml version="1.0" encoding="utf-8"?>
<worksheet xmlns="http://schemas.openxmlformats.org/spreadsheetml/2006/main">
  <sheetPr>
    <tabColor rgb="001F3864"/>
    <outlinePr summaryBelow="1" summaryRight="1"/>
    <pageSetUpPr/>
  </sheetPr>
  <dimension ref="A1:F29"/>
  <sheetViews>
    <sheetView showGridLines="0" workbookViewId="0">
      <pane ySplit="5" topLeftCell="A6" activePane="bottomLeft" state="frozen"/>
      <selection pane="bottomLeft" activeCell="A1" sqref="A1"/>
    </sheetView>
  </sheetViews>
  <sheetFormatPr baseColWidth="8" defaultRowHeight="15"/>
  <cols>
    <col width="18" customWidth="1" min="1" max="1"/>
    <col width="48" customWidth="1" min="2" max="2"/>
    <col width="22" customWidth="1" min="3" max="3"/>
    <col width="16" customWidth="1" min="4" max="4"/>
    <col width="12" customWidth="1" min="5" max="5"/>
  </cols>
  <sheetData>
    <row r="1" ht="26" customHeight="1">
      <c r="A1" s="1" t="inlineStr">
        <is>
          <t>Dataset 4.4  —  Dynamic Charts Using Named Ranges and OFFSET</t>
        </is>
      </c>
    </row>
    <row r="2" ht="16" customHeight="1">
      <c r="A2" s="2" t="inlineStr">
        <is>
          <t>Session 4: Advanced Charts, Macros &amp; Workbook Management | Part A: Advanced Charting   |   Adamjee Assurance Company Limited (Pakistan) — training data, figures in PKR</t>
        </is>
      </c>
    </row>
    <row r="4">
      <c r="A4" s="9" t="inlineStr">
        <is>
          <t>Table A — Monthly performance (rows are appended as the year progresses)</t>
        </is>
      </c>
    </row>
    <row r="5" ht="30" customHeight="1">
      <c r="A5" s="10" t="inlineStr">
        <is>
          <t>Month</t>
        </is>
      </c>
      <c r="B5" s="10" t="inlineStr">
        <is>
          <t>Gross Written Premium (PKR)</t>
        </is>
      </c>
      <c r="C5" s="10" t="inlineStr">
        <is>
          <t>Claims Paid (PKR)</t>
        </is>
      </c>
      <c r="D5" s="10" t="inlineStr">
        <is>
          <t>Policies Issued</t>
        </is>
      </c>
      <c r="E5" s="10" t="inlineStr">
        <is>
          <t>Loss Ratio</t>
        </is>
      </c>
    </row>
    <row r="6">
      <c r="A6" s="7" t="inlineStr">
        <is>
          <t>Jan-2024</t>
        </is>
      </c>
      <c r="B6" s="11" t="n">
        <v>70997000</v>
      </c>
      <c r="C6" s="11" t="n">
        <v>29629000</v>
      </c>
      <c r="D6" s="11" t="n">
        <v>1200</v>
      </c>
      <c r="E6" s="13" t="n">
        <v>0.4173</v>
      </c>
    </row>
    <row r="7">
      <c r="A7" s="15" t="inlineStr">
        <is>
          <t>Feb-2024</t>
        </is>
      </c>
      <c r="B7" s="14" t="n">
        <v>53831000</v>
      </c>
      <c r="C7" s="14" t="n">
        <v>39861000</v>
      </c>
      <c r="D7" s="14" t="n">
        <v>1237</v>
      </c>
      <c r="E7" s="17" t="n">
        <v>0.7405</v>
      </c>
    </row>
    <row r="8">
      <c r="A8" s="7" t="inlineStr">
        <is>
          <t>Mar-2024</t>
        </is>
      </c>
      <c r="B8" s="11" t="n">
        <v>69284000</v>
      </c>
      <c r="C8" s="11" t="n">
        <v>41849000</v>
      </c>
      <c r="D8" s="11" t="n">
        <v>1274</v>
      </c>
      <c r="E8" s="13" t="n">
        <v>0.604</v>
      </c>
    </row>
    <row r="9">
      <c r="A9" s="15" t="inlineStr">
        <is>
          <t>Apr-2024</t>
        </is>
      </c>
      <c r="B9" s="14" t="n">
        <v>58476000</v>
      </c>
      <c r="C9" s="14" t="n">
        <v>35117000</v>
      </c>
      <c r="D9" s="14" t="n">
        <v>1311</v>
      </c>
      <c r="E9" s="17" t="n">
        <v>0.6005</v>
      </c>
    </row>
    <row r="10">
      <c r="A10" s="7" t="inlineStr">
        <is>
          <t>May-2024</t>
        </is>
      </c>
      <c r="B10" s="11" t="n">
        <v>64759000</v>
      </c>
      <c r="C10" s="11" t="n">
        <v>36418000</v>
      </c>
      <c r="D10" s="11" t="n">
        <v>1348</v>
      </c>
      <c r="E10" s="13" t="n">
        <v>0.5624</v>
      </c>
    </row>
    <row r="11">
      <c r="A11" s="15" t="inlineStr">
        <is>
          <t>Jun-2024</t>
        </is>
      </c>
      <c r="B11" s="14" t="n">
        <v>74750000</v>
      </c>
      <c r="C11" s="14" t="n">
        <v>29571000</v>
      </c>
      <c r="D11" s="14" t="n">
        <v>1385</v>
      </c>
      <c r="E11" s="17" t="n">
        <v>0.3956</v>
      </c>
    </row>
    <row r="12">
      <c r="A12" s="7" t="inlineStr">
        <is>
          <t>Jul-2024</t>
        </is>
      </c>
      <c r="B12" s="11" t="n">
        <v>69081000</v>
      </c>
      <c r="C12" s="11" t="n">
        <v>27449000</v>
      </c>
      <c r="D12" s="11" t="n">
        <v>1422</v>
      </c>
      <c r="E12" s="13" t="n">
        <v>0.3973</v>
      </c>
    </row>
    <row r="13">
      <c r="A13" s="15" t="inlineStr">
        <is>
          <t>Aug-2024</t>
        </is>
      </c>
      <c r="B13" s="14" t="n">
        <v>74767000</v>
      </c>
      <c r="C13" s="14" t="n">
        <v>26781000</v>
      </c>
      <c r="D13" s="14" t="n">
        <v>1459</v>
      </c>
      <c r="E13" s="17" t="n">
        <v>0.3582</v>
      </c>
    </row>
    <row r="14">
      <c r="A14" s="7" t="inlineStr">
        <is>
          <t>Sep-2024</t>
        </is>
      </c>
      <c r="B14" s="11" t="n">
        <v>56995000</v>
      </c>
      <c r="C14" s="11" t="n">
        <v>32638000</v>
      </c>
      <c r="D14" s="11" t="n">
        <v>1496</v>
      </c>
      <c r="E14" s="13" t="n">
        <v>0.5726</v>
      </c>
    </row>
    <row r="16">
      <c r="A16" s="9" t="inlineStr">
        <is>
          <t>Table B — Chart controls</t>
        </is>
      </c>
    </row>
    <row r="17" ht="30" customHeight="1">
      <c r="A17" s="10" t="inlineStr">
        <is>
          <t>Control</t>
        </is>
      </c>
      <c r="B17" s="10" t="inlineStr">
        <is>
          <t>Value</t>
        </is>
      </c>
    </row>
    <row r="18">
      <c r="A18" s="7" t="inlineStr">
        <is>
          <t>Months to display</t>
        </is>
      </c>
      <c r="B18" s="43" t="n">
        <v>6</v>
      </c>
    </row>
    <row r="19">
      <c r="A19" s="15" t="inlineStr">
        <is>
          <t>Measure (1=GWP, 2=Claims, 3=Policies)</t>
        </is>
      </c>
      <c r="B19" s="42" t="n">
        <v>1</v>
      </c>
    </row>
    <row r="20">
      <c r="A20" s="7" t="inlineStr">
        <is>
          <t>Chart title text</t>
        </is>
      </c>
      <c r="B20" s="7" t="inlineStr"/>
    </row>
    <row r="22">
      <c r="A22" s="9" t="inlineStr">
        <is>
          <t>Table C — Names to define</t>
        </is>
      </c>
    </row>
    <row r="23" ht="30" customHeight="1">
      <c r="A23" s="10" t="inlineStr">
        <is>
          <t>Name</t>
        </is>
      </c>
      <c r="B23" s="10" t="inlineStr">
        <is>
          <t>Definition required</t>
        </is>
      </c>
    </row>
    <row r="24">
      <c r="A24" s="7" t="inlineStr">
        <is>
          <t>Chart_Months</t>
        </is>
      </c>
      <c r="B24" s="7" t="inlineStr">
        <is>
          <t>Last N month labels, N from Table B</t>
        </is>
      </c>
    </row>
    <row r="25">
      <c r="A25" s="15" t="inlineStr">
        <is>
          <t>Chart_Values</t>
        </is>
      </c>
      <c r="B25" s="15" t="inlineStr">
        <is>
          <t>Last N values of the selected measure</t>
        </is>
      </c>
    </row>
    <row r="26">
      <c r="A26" s="7" t="inlineStr">
        <is>
          <t>All_Months</t>
        </is>
      </c>
      <c r="B26" s="7" t="inlineStr">
        <is>
          <t>Every month label, growing as rows are added</t>
        </is>
      </c>
    </row>
    <row r="27">
      <c r="A27" s="15" t="inlineStr">
        <is>
          <t>Chart_Title</t>
        </is>
      </c>
      <c r="B27" s="15" t="inlineStr">
        <is>
          <t>A text formula for the dynamic title</t>
        </is>
      </c>
    </row>
    <row r="29">
      <c r="A2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0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Rolling six-month dashboard chart</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The dashboard trend chart must always show the last six months. At present an analyst edits the chart's source range every month, and in July it was left on the May window, so the dashboard showed a two-month-old picture for a fortnight.</t>
        </is>
      </c>
    </row>
    <row r="9">
      <c r="A9" s="25" t="inlineStr">
        <is>
          <t>Source data: '4.4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Rolling six-month dashboard chart</t>
        </is>
      </c>
      <c r="C13" s="38" t="inlineStr">
        <is>
          <t>A line chart whose source is a dynamic named range returning the last N months, with N taken from a control cell, so the chart rolls forward by itself as rows are added.</t>
        </is>
      </c>
      <c r="D13" s="37" t="inlineStr">
        <is>
          <t>Head of Management Reporting</t>
        </is>
      </c>
      <c r="E13" s="31" t="n"/>
    </row>
    <row r="14" ht="65" customHeight="1">
      <c r="A14" s="35" t="n">
        <v>2</v>
      </c>
      <c r="B14" s="36" t="inlineStr">
        <is>
          <t>Acceptance test — three more months of data</t>
        </is>
      </c>
      <c r="C14" s="38" t="inlineStr">
        <is>
          <t>Test evidence: add three months of data, confirm the chart rolls forward with no edit, then change the window control from 6 to 12 and confirm the chart widens. Record what was changed each time.</t>
        </is>
      </c>
      <c r="D14" s="37" t="inlineStr">
        <is>
          <t>Head of Internal Audit</t>
        </is>
      </c>
      <c r="E14" s="31" t="n"/>
    </row>
    <row r="15" ht="52" customHeight="1">
      <c r="A15" s="35" t="n">
        <v>3</v>
      </c>
      <c r="B15" s="36" t="inlineStr">
        <is>
          <t>Measure selector on the dashboard chart</t>
        </is>
      </c>
      <c r="C15" s="38" t="inlineStr">
        <is>
          <t>The chart with a measure selector cell, so switching between 1, 2 and 3 changes what is plotted, driven by the column argument inside the dynamic range.</t>
        </is>
      </c>
      <c r="D15" s="37" t="inlineStr">
        <is>
          <t>Chief Financial Officer</t>
        </is>
      </c>
      <c r="E15" s="31" t="n"/>
    </row>
    <row r="16" ht="52" customHeight="1">
      <c r="A16" s="35" t="n">
        <v>4</v>
      </c>
      <c r="B16" s="36" t="inlineStr">
        <is>
          <t>Self-describing chart title</t>
        </is>
      </c>
      <c r="C16" s="38" t="inlineStr">
        <is>
          <t>A dynamic chart title reading, for example, 'GWP — last 6 months to Sep-2024', built by formula in a cell and linked to the chart title so it updates with the data.</t>
        </is>
      </c>
      <c r="D16" s="37" t="inlineStr">
        <is>
          <t>Head of Management Reporting</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06.xml><?xml version="1.0" encoding="utf-8"?>
<worksheet xmlns="http://schemas.openxmlformats.org/spreadsheetml/2006/main">
  <sheetPr>
    <tabColor rgb="001F3864"/>
    <outlinePr summaryBelow="1" summaryRight="1"/>
    <pageSetUpPr/>
  </sheetPr>
  <dimension ref="A1:F24"/>
  <sheetViews>
    <sheetView showGridLines="0" workbookViewId="0">
      <pane ySplit="5" topLeftCell="A6" activePane="bottomLeft" state="frozen"/>
      <selection pane="bottomLeft" activeCell="A1" sqref="A1"/>
    </sheetView>
  </sheetViews>
  <sheetFormatPr baseColWidth="8" defaultRowHeight="15"/>
  <cols>
    <col width="16" customWidth="1" min="1" max="1"/>
    <col width="72" customWidth="1" min="2" max="2"/>
    <col width="22" customWidth="1" min="3" max="3"/>
    <col width="12" customWidth="1" min="4" max="4"/>
    <col width="16" customWidth="1" min="5" max="5"/>
    <col width="22" customWidth="1" min="6" max="6"/>
  </cols>
  <sheetData>
    <row r="1" ht="26" customHeight="1">
      <c r="A1" s="1" t="inlineStr">
        <is>
          <t>Dataset 4.5  —  Formatting Charts for Executive Presentations</t>
        </is>
      </c>
    </row>
    <row r="2" ht="16" customHeight="1">
      <c r="A2" s="2" t="inlineStr">
        <is>
          <t>Session 4: Advanced Charts, Macros &amp; Workbook Management | Part A: Advanced Charting   |   Adamjee Assurance Company Limited (Pakistan) — training data, figures in PKR</t>
        </is>
      </c>
    </row>
    <row r="4">
      <c r="A4" s="9" t="inlineStr">
        <is>
          <t>Table A — Branch performance for the board chart</t>
        </is>
      </c>
    </row>
    <row r="5" ht="30" customHeight="1">
      <c r="A5" s="10" t="inlineStr">
        <is>
          <t>Branch</t>
        </is>
      </c>
      <c r="B5" s="10" t="inlineStr">
        <is>
          <t>GWP 2023 (PKR)</t>
        </is>
      </c>
      <c r="C5" s="10" t="inlineStr">
        <is>
          <t>GWP 2024 (PKR)</t>
        </is>
      </c>
      <c r="D5" s="10" t="inlineStr">
        <is>
          <t>Growth %</t>
        </is>
      </c>
      <c r="E5" s="10" t="inlineStr">
        <is>
          <t>Loss Ratio 2024</t>
        </is>
      </c>
      <c r="F5" s="10" t="inlineStr">
        <is>
          <t>Target GWP (PKR)</t>
        </is>
      </c>
    </row>
    <row r="6">
      <c r="A6" s="7" t="inlineStr">
        <is>
          <t>Karachi Main</t>
        </is>
      </c>
      <c r="B6" s="11" t="n">
        <v>88880426</v>
      </c>
      <c r="C6" s="11" t="n">
        <v>92131000</v>
      </c>
      <c r="D6" s="13" t="n">
        <v>0.0366</v>
      </c>
      <c r="E6" s="13" t="n">
        <v>0.7134</v>
      </c>
      <c r="F6" s="11" t="n">
        <v>103186720</v>
      </c>
    </row>
    <row r="7">
      <c r="A7" s="15" t="inlineStr">
        <is>
          <t>Lahore Gulberg</t>
        </is>
      </c>
      <c r="B7" s="14" t="n">
        <v>118609888</v>
      </c>
      <c r="C7" s="14" t="n">
        <v>141380000</v>
      </c>
      <c r="D7" s="17" t="n">
        <v>0.192</v>
      </c>
      <c r="E7" s="17" t="n">
        <v>0.41</v>
      </c>
      <c r="F7" s="14" t="n">
        <v>158345600</v>
      </c>
    </row>
    <row r="8">
      <c r="A8" s="7" t="inlineStr">
        <is>
          <t>Islamabad Blue Area</t>
        </is>
      </c>
      <c r="B8" s="11" t="n">
        <v>83362413</v>
      </c>
      <c r="C8" s="11" t="n">
        <v>104189000</v>
      </c>
      <c r="D8" s="13" t="n">
        <v>0.2498</v>
      </c>
      <c r="E8" s="13" t="n">
        <v>0.8024</v>
      </c>
      <c r="F8" s="11" t="n">
        <v>116691680</v>
      </c>
    </row>
    <row r="9">
      <c r="A9" s="15" t="inlineStr">
        <is>
          <t>Faisalabad</t>
        </is>
      </c>
      <c r="B9" s="14" t="n">
        <v>119740542</v>
      </c>
      <c r="C9" s="14" t="n">
        <v>143901000</v>
      </c>
      <c r="D9" s="17" t="n">
        <v>0.2018</v>
      </c>
      <c r="E9" s="17" t="n">
        <v>0.4287</v>
      </c>
      <c r="F9" s="14" t="n">
        <v>161169120</v>
      </c>
    </row>
    <row r="10">
      <c r="A10" s="7" t="inlineStr">
        <is>
          <t>Multan</t>
        </is>
      </c>
      <c r="B10" s="11" t="n">
        <v>128316034</v>
      </c>
      <c r="C10" s="11" t="n">
        <v>135817000</v>
      </c>
      <c r="D10" s="13" t="n">
        <v>0.0585</v>
      </c>
      <c r="E10" s="13" t="n">
        <v>0.4795</v>
      </c>
      <c r="F10" s="11" t="n">
        <v>152115040</v>
      </c>
    </row>
    <row r="11">
      <c r="A11" s="15" t="inlineStr">
        <is>
          <t>Peshawar</t>
        </is>
      </c>
      <c r="B11" s="14" t="n">
        <v>148440271</v>
      </c>
      <c r="C11" s="14" t="n">
        <v>155756000</v>
      </c>
      <c r="D11" s="17" t="n">
        <v>0.0493</v>
      </c>
      <c r="E11" s="17" t="n">
        <v>0.3756</v>
      </c>
      <c r="F11" s="14" t="n">
        <v>174446720</v>
      </c>
    </row>
    <row r="13">
      <c r="A13" s="9" t="inlineStr">
        <is>
          <t>Table B — Adamjee board pack chart standards</t>
        </is>
      </c>
    </row>
    <row r="14" ht="30" customHeight="1">
      <c r="A14" s="10" t="inlineStr">
        <is>
          <t>Rule</t>
        </is>
      </c>
      <c r="B14" s="10" t="inlineStr">
        <is>
          <t>Requirement</t>
        </is>
      </c>
    </row>
    <row r="15">
      <c r="A15" s="7" t="inlineStr">
        <is>
          <t>Title</t>
        </is>
      </c>
      <c r="B15" s="7" t="inlineStr">
        <is>
          <t>States the message, not the data (e.g. 'South region drove 2024 growth')</t>
        </is>
      </c>
    </row>
    <row r="16">
      <c r="A16" s="15" t="inlineStr">
        <is>
          <t>Units</t>
        </is>
      </c>
      <c r="B16" s="15" t="inlineStr">
        <is>
          <t>Axis in PKR millions with the unit named once in the title or axis label</t>
        </is>
      </c>
    </row>
    <row r="17">
      <c r="A17" s="7" t="inlineStr">
        <is>
          <t>Colour</t>
        </is>
      </c>
      <c r="B17" s="7" t="inlineStr">
        <is>
          <t>One accent colour for the story, grey for everything else</t>
        </is>
      </c>
    </row>
    <row r="18">
      <c r="A18" s="15" t="inlineStr">
        <is>
          <t>Gridlines</t>
        </is>
      </c>
      <c r="B18" s="15" t="inlineStr">
        <is>
          <t>Removed or very light; no vertical gridlines on a column chart</t>
        </is>
      </c>
    </row>
    <row r="19">
      <c r="A19" s="7" t="inlineStr">
        <is>
          <t>Legend</t>
        </is>
      </c>
      <c r="B19" s="7" t="inlineStr">
        <is>
          <t>Removed when only one series; otherwise placed at the top</t>
        </is>
      </c>
    </row>
    <row r="20">
      <c r="A20" s="15" t="inlineStr">
        <is>
          <t>Data labels</t>
        </is>
      </c>
      <c r="B20" s="15" t="inlineStr">
        <is>
          <t>Shown when there are fewer than 12 points; axis removed instead</t>
        </is>
      </c>
    </row>
    <row r="21">
      <c r="A21" s="7" t="inlineStr">
        <is>
          <t>Font</t>
        </is>
      </c>
      <c r="B21" s="7" t="inlineStr">
        <is>
          <t>Arial 10 minimum — readable when projected</t>
        </is>
      </c>
    </row>
    <row r="22">
      <c r="A22" s="15" t="inlineStr">
        <is>
          <t>Sorting</t>
        </is>
      </c>
      <c r="B22" s="15" t="inlineStr">
        <is>
          <t>Sorted by value, not alphabetically, unless time-based</t>
        </is>
      </c>
    </row>
    <row r="24">
      <c r="A24"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07.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Board Chart rebuilt to the Adamjee standard</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The analysis is right but the chart was returned by the Company Secretary before it reached the Board: default blue, gridlines throughout, a legend for a single series, an axis running to nine digits, and a title reading 'Chart Title'. The pack is printed and projected, so it must read from the back of the room.</t>
        </is>
      </c>
    </row>
    <row r="9">
      <c r="A9" s="25" t="inlineStr">
        <is>
          <t>Source data: '4.5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Board Chart rebuilt to the Adamjee standard</t>
        </is>
      </c>
      <c r="C13" s="38" t="inlineStr">
        <is>
          <t>A branch premium column chart rebuilt to the published standard: sorted by value, axis in PKR millions, gridlines and legend removed, Arial 10 minimum, and a message-style title linked to a cell. List which defaults you removed.</t>
        </is>
      </c>
      <c r="D13" s="37" t="inlineStr">
        <is>
          <t>Head of Management Reporting</t>
        </is>
      </c>
      <c r="E13" s="31" t="n"/>
    </row>
    <row r="14" ht="65" customHeight="1">
      <c r="A14" s="35" t="n">
        <v>2</v>
      </c>
      <c r="B14" s="36" t="inlineStr">
        <is>
          <t>Colour used to tell the story</t>
        </is>
      </c>
      <c r="C14" s="38" t="inlineStr">
        <is>
          <t>The chart with the three best-performing branches in the accent colour and every other branch in grey, plus the Target GWP added as a line series so achievement against target is visible.</t>
        </is>
      </c>
      <c r="D14" s="37" t="inlineStr">
        <is>
          <t>Chief Executive's office</t>
        </is>
      </c>
      <c r="E14" s="31" t="n"/>
    </row>
    <row r="15" ht="52" customHeight="1">
      <c r="A15" s="35" t="n">
        <v>3</v>
      </c>
      <c r="B15" s="36" t="inlineStr">
        <is>
          <t>Reusable chart template for the team</t>
        </is>
      </c>
      <c r="C15" s="38" t="inlineStr">
        <is>
          <t>The finished formatting saved as a chart template and applied to a second chart, with the file type and location recorded so the team can all use it.</t>
        </is>
      </c>
      <c r="D15" s="37" t="inlineStr">
        <is>
          <t>Head of Management Reporting</t>
        </is>
      </c>
      <c r="E15" s="31" t="n"/>
    </row>
    <row r="16" ht="52" customHeight="1">
      <c r="A16" s="35" t="n">
        <v>4</v>
      </c>
      <c r="B16" s="36" t="inlineStr">
        <is>
          <t>Transfer to the Board slide deck</t>
        </is>
      </c>
      <c r="C16" s="38" t="inlineStr">
        <is>
          <t>The chart placed into the slide, with a note on which paste method you used and the specific risk of linking rather than embedding for a Board pack.</t>
        </is>
      </c>
      <c r="D16" s="37" t="inlineStr">
        <is>
          <t>Company Secretary</t>
        </is>
      </c>
      <c r="E16" s="31" t="n"/>
    </row>
    <row r="17" ht="39" customHeight="1">
      <c r="A17" s="35" t="n">
        <v>5</v>
      </c>
      <c r="B17" s="36" t="inlineStr">
        <is>
          <t>The one-sentence takeaway</t>
        </is>
      </c>
      <c r="C17" s="38" t="inlineStr">
        <is>
          <t>The single sentence this chart supports, written in the yellow box. If you cannot write it, state what you would change about the chart.</t>
        </is>
      </c>
      <c r="D17" s="37" t="inlineStr">
        <is>
          <t>Chief Executive's office</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108.xml><?xml version="1.0" encoding="utf-8"?>
<worksheet xmlns="http://schemas.openxmlformats.org/spreadsheetml/2006/main">
  <sheetPr>
    <tabColor rgb="001F3864"/>
    <outlinePr summaryBelow="1" summaryRight="1"/>
    <pageSetUpPr/>
  </sheetPr>
  <dimension ref="A1:F38"/>
  <sheetViews>
    <sheetView showGridLines="0" workbookViewId="0">
      <pane ySplit="5" topLeftCell="A6" activePane="bottomLeft" state="frozen"/>
      <selection pane="bottomLeft" activeCell="A1" sqref="A1"/>
    </sheetView>
  </sheetViews>
  <sheetFormatPr baseColWidth="8" defaultRowHeight="15"/>
  <cols>
    <col width="34" customWidth="1" min="1" max="1"/>
    <col width="38" customWidth="1" min="2" max="2"/>
    <col width="10" customWidth="1" min="3" max="3"/>
    <col width="16" customWidth="1" min="4" max="4"/>
    <col width="20" customWidth="1" min="5" max="5"/>
    <col width="14" customWidth="1" min="6" max="6"/>
  </cols>
  <sheetData>
    <row r="1" ht="26" customHeight="1">
      <c r="A1" s="1" t="inlineStr">
        <is>
          <t>Dataset 4.6  —  Enabling the Developer Tab</t>
        </is>
      </c>
    </row>
    <row r="2" ht="16" customHeight="1">
      <c r="A2" s="2" t="inlineStr">
        <is>
          <t>Session 4: Advanced Charts, Macros &amp; Workbook Management | Part B: Introduction to Macros   |   Adamjee Assurance Company Limited (Pakistan) — training data, figures in PKR</t>
        </is>
      </c>
    </row>
    <row r="4">
      <c r="A4" s="9" t="inlineStr">
        <is>
          <t>Table A — Small dataset to record your first macro against</t>
        </is>
      </c>
    </row>
    <row r="5" ht="30" customHeight="1">
      <c r="A5" s="10" t="inlineStr">
        <is>
          <t>Policy No</t>
        </is>
      </c>
      <c r="B5" s="10" t="inlineStr">
        <is>
          <t>Branch</t>
        </is>
      </c>
      <c r="C5" s="10" t="inlineStr">
        <is>
          <t>Product</t>
        </is>
      </c>
      <c r="D5" s="10" t="inlineStr">
        <is>
          <t>Booking Date</t>
        </is>
      </c>
      <c r="E5" s="10" t="inlineStr">
        <is>
          <t>Gross Premium (PKR)</t>
        </is>
      </c>
      <c r="F5" s="10" t="inlineStr">
        <is>
          <t>Policy Status</t>
        </is>
      </c>
    </row>
    <row r="6">
      <c r="A6" s="7" t="inlineStr">
        <is>
          <t>ADM-FIR-KHI-2024-1001</t>
        </is>
      </c>
      <c r="B6" s="7" t="inlineStr">
        <is>
          <t>Karachi Main</t>
        </is>
      </c>
      <c r="C6" s="7" t="inlineStr">
        <is>
          <t>Fire &amp; Property</t>
        </is>
      </c>
      <c r="D6" s="40" t="n">
        <v>45532</v>
      </c>
      <c r="E6" s="11" t="n">
        <v>96000</v>
      </c>
      <c r="F6" s="7" t="inlineStr">
        <is>
          <t>Active</t>
        </is>
      </c>
    </row>
    <row r="7">
      <c r="A7" s="15" t="inlineStr">
        <is>
          <t>ADM-TRV-LHR-2024-1002</t>
        </is>
      </c>
      <c r="B7" s="15" t="inlineStr">
        <is>
          <t>Lahore Gulberg</t>
        </is>
      </c>
      <c r="C7" s="15" t="inlineStr">
        <is>
          <t>Travel</t>
        </is>
      </c>
      <c r="D7" s="41" t="n">
        <v>45501</v>
      </c>
      <c r="E7" s="14" t="n">
        <v>201000</v>
      </c>
      <c r="F7" s="15" t="inlineStr">
        <is>
          <t>Active</t>
        </is>
      </c>
    </row>
    <row r="8">
      <c r="A8" s="7" t="inlineStr">
        <is>
          <t>ADM-MTR-ISB-2024-1003</t>
        </is>
      </c>
      <c r="B8" s="7" t="inlineStr">
        <is>
          <t>Islamabad Blue Area</t>
        </is>
      </c>
      <c r="C8" s="7" t="inlineStr">
        <is>
          <t>Motor</t>
        </is>
      </c>
      <c r="D8" s="40" t="n">
        <v>45504</v>
      </c>
      <c r="E8" s="11" t="n">
        <v>1397000</v>
      </c>
      <c r="F8" s="7" t="inlineStr">
        <is>
          <t>Active</t>
        </is>
      </c>
    </row>
    <row r="9">
      <c r="A9" s="15" t="inlineStr">
        <is>
          <t>ADM-HLT-FSD-2024-1004</t>
        </is>
      </c>
      <c r="B9" s="15" t="inlineStr">
        <is>
          <t>Faisalabad</t>
        </is>
      </c>
      <c r="C9" s="15" t="inlineStr">
        <is>
          <t>Health</t>
        </is>
      </c>
      <c r="D9" s="41" t="n">
        <v>45570</v>
      </c>
      <c r="E9" s="14" t="n">
        <v>305000</v>
      </c>
      <c r="F9" s="15" t="inlineStr">
        <is>
          <t>Cancelled</t>
        </is>
      </c>
    </row>
    <row r="10">
      <c r="A10" s="7" t="inlineStr">
        <is>
          <t>ADM-MSC-MUL-2024-1005</t>
        </is>
      </c>
      <c r="B10" s="7" t="inlineStr">
        <is>
          <t>Multan</t>
        </is>
      </c>
      <c r="C10" s="7" t="inlineStr">
        <is>
          <t>Miscellaneous</t>
        </is>
      </c>
      <c r="D10" s="40" t="n">
        <v>45531</v>
      </c>
      <c r="E10" s="11" t="n">
        <v>75000</v>
      </c>
      <c r="F10" s="7" t="inlineStr">
        <is>
          <t>Active</t>
        </is>
      </c>
    </row>
    <row r="11">
      <c r="A11" s="15" t="inlineStr">
        <is>
          <t>ADM-MAR-PEW-2024-1006</t>
        </is>
      </c>
      <c r="B11" s="15" t="inlineStr">
        <is>
          <t>Peshawar</t>
        </is>
      </c>
      <c r="C11" s="15" t="inlineStr">
        <is>
          <t>Marine Cargo</t>
        </is>
      </c>
      <c r="D11" s="41" t="n">
        <v>45470</v>
      </c>
      <c r="E11" s="14" t="n">
        <v>380000</v>
      </c>
      <c r="F11" s="15" t="inlineStr">
        <is>
          <t>Active</t>
        </is>
      </c>
    </row>
    <row r="12">
      <c r="A12" s="7" t="inlineStr">
        <is>
          <t>ADM-ENG-QTA-2024-1007</t>
        </is>
      </c>
      <c r="B12" s="7" t="inlineStr">
        <is>
          <t>Quetta</t>
        </is>
      </c>
      <c r="C12" s="7" t="inlineStr">
        <is>
          <t>Engineering</t>
        </is>
      </c>
      <c r="D12" s="40" t="n">
        <v>45491</v>
      </c>
      <c r="E12" s="11" t="n">
        <v>227000</v>
      </c>
      <c r="F12" s="7" t="inlineStr">
        <is>
          <t>Active</t>
        </is>
      </c>
    </row>
    <row r="13">
      <c r="A13" s="15" t="inlineStr">
        <is>
          <t>ADM-FIR-HYD-2024-1008</t>
        </is>
      </c>
      <c r="B13" s="15" t="inlineStr">
        <is>
          <t>Hyderabad</t>
        </is>
      </c>
      <c r="C13" s="15" t="inlineStr">
        <is>
          <t>Fire &amp; Property</t>
        </is>
      </c>
      <c r="D13" s="41" t="n">
        <v>45510</v>
      </c>
      <c r="E13" s="14" t="n">
        <v>290000</v>
      </c>
      <c r="F13" s="15" t="inlineStr">
        <is>
          <t>Renewed</t>
        </is>
      </c>
    </row>
    <row r="14">
      <c r="A14" s="7" t="inlineStr">
        <is>
          <t>ADM-TRV-SKT-2024-1009</t>
        </is>
      </c>
      <c r="B14" s="7" t="inlineStr">
        <is>
          <t>Sialkot</t>
        </is>
      </c>
      <c r="C14" s="7" t="inlineStr">
        <is>
          <t>Travel</t>
        </is>
      </c>
      <c r="D14" s="40" t="n">
        <v>45409</v>
      </c>
      <c r="E14" s="11" t="n">
        <v>37000</v>
      </c>
      <c r="F14" s="7" t="inlineStr">
        <is>
          <t>Active</t>
        </is>
      </c>
    </row>
    <row r="15">
      <c r="A15" s="15" t="inlineStr">
        <is>
          <t>ADM-MTR-RWP-2024-1010</t>
        </is>
      </c>
      <c r="B15" s="15" t="inlineStr">
        <is>
          <t>Rawalpindi</t>
        </is>
      </c>
      <c r="C15" s="15" t="inlineStr">
        <is>
          <t>Motor</t>
        </is>
      </c>
      <c r="D15" s="41" t="n">
        <v>45424</v>
      </c>
      <c r="E15" s="14" t="n">
        <v>760000</v>
      </c>
      <c r="F15" s="15" t="inlineStr">
        <is>
          <t>Cancelled</t>
        </is>
      </c>
    </row>
    <row r="16">
      <c r="A16" s="7" t="inlineStr">
        <is>
          <t>ADM-HLT-KHI-2024-1011</t>
        </is>
      </c>
      <c r="B16" s="7" t="inlineStr">
        <is>
          <t>Karachi Main</t>
        </is>
      </c>
      <c r="C16" s="7" t="inlineStr">
        <is>
          <t>Health</t>
        </is>
      </c>
      <c r="D16" s="40" t="n">
        <v>45507</v>
      </c>
      <c r="E16" s="11" t="n">
        <v>603000</v>
      </c>
      <c r="F16" s="7" t="inlineStr">
        <is>
          <t>Active</t>
        </is>
      </c>
    </row>
    <row r="17">
      <c r="A17" s="15" t="inlineStr">
        <is>
          <t>ADM-MSC-LHR-2024-1012</t>
        </is>
      </c>
      <c r="B17" s="15" t="inlineStr">
        <is>
          <t>Lahore Gulberg</t>
        </is>
      </c>
      <c r="C17" s="15" t="inlineStr">
        <is>
          <t>Miscellaneous</t>
        </is>
      </c>
      <c r="D17" s="41" t="n">
        <v>45412</v>
      </c>
      <c r="E17" s="14" t="n">
        <v>512000</v>
      </c>
      <c r="F17" s="15" t="inlineStr">
        <is>
          <t>Active</t>
        </is>
      </c>
    </row>
    <row r="18">
      <c r="A18" s="7" t="inlineStr">
        <is>
          <t>ADM-MAR-ISB-2024-1013</t>
        </is>
      </c>
      <c r="B18" s="7" t="inlineStr">
        <is>
          <t>Islamabad Blue Area</t>
        </is>
      </c>
      <c r="C18" s="7" t="inlineStr">
        <is>
          <t>Marine Cargo</t>
        </is>
      </c>
      <c r="D18" s="40" t="n">
        <v>45544</v>
      </c>
      <c r="E18" s="11" t="n">
        <v>2169000</v>
      </c>
      <c r="F18" s="7" t="inlineStr">
        <is>
          <t>Active</t>
        </is>
      </c>
    </row>
    <row r="19">
      <c r="A19" s="15" t="inlineStr">
        <is>
          <t>ADM-ENG-FSD-2024-1014</t>
        </is>
      </c>
      <c r="B19" s="15" t="inlineStr">
        <is>
          <t>Faisalabad</t>
        </is>
      </c>
      <c r="C19" s="15" t="inlineStr">
        <is>
          <t>Engineering</t>
        </is>
      </c>
      <c r="D19" s="41" t="n">
        <v>45490</v>
      </c>
      <c r="E19" s="14" t="n">
        <v>1089000</v>
      </c>
      <c r="F19" s="15" t="inlineStr">
        <is>
          <t>Active</t>
        </is>
      </c>
    </row>
    <row r="20">
      <c r="A20" s="7" t="inlineStr">
        <is>
          <t>ADM-FIR-MUL-2024-1015</t>
        </is>
      </c>
      <c r="B20" s="7" t="inlineStr">
        <is>
          <t>Multan</t>
        </is>
      </c>
      <c r="C20" s="7" t="inlineStr">
        <is>
          <t>Fire &amp; Property</t>
        </is>
      </c>
      <c r="D20" s="40" t="n">
        <v>45359</v>
      </c>
      <c r="E20" s="11" t="n">
        <v>484000</v>
      </c>
      <c r="F20" s="7" t="inlineStr">
        <is>
          <t>Cancelled</t>
        </is>
      </c>
    </row>
    <row r="22">
      <c r="A22" s="9" t="inlineStr">
        <is>
          <t>Table B — File formats and macros</t>
        </is>
      </c>
    </row>
    <row r="23" ht="30" customHeight="1">
      <c r="A23" s="10" t="inlineStr">
        <is>
          <t>Extension</t>
        </is>
      </c>
      <c r="B23" s="10" t="inlineStr">
        <is>
          <t>Holds macros?</t>
        </is>
      </c>
      <c r="C23" s="10" t="inlineStr">
        <is>
          <t>Typical use at Adamjee</t>
        </is>
      </c>
    </row>
    <row r="24">
      <c r="A24" s="7" t="inlineStr">
        <is>
          <t>.xlsx</t>
        </is>
      </c>
      <c r="B24" s="7" t="inlineStr">
        <is>
          <t>No</t>
        </is>
      </c>
      <c r="C24" s="7" t="inlineStr">
        <is>
          <t>Standard reporting files</t>
        </is>
      </c>
    </row>
    <row r="25">
      <c r="A25" s="15" t="inlineStr">
        <is>
          <t>.xlsm</t>
        </is>
      </c>
      <c r="B25" s="15" t="inlineStr">
        <is>
          <t>Yes</t>
        </is>
      </c>
      <c r="C25" s="15" t="inlineStr">
        <is>
          <t>Macro-enabled reporting tools</t>
        </is>
      </c>
    </row>
    <row r="26">
      <c r="A26" s="7" t="inlineStr">
        <is>
          <t>.xlsb</t>
        </is>
      </c>
      <c r="B26" s="7" t="inlineStr">
        <is>
          <t>Yes</t>
        </is>
      </c>
      <c r="C26" s="7" t="inlineStr">
        <is>
          <t>Large binary workbooks</t>
        </is>
      </c>
    </row>
    <row r="27">
      <c r="A27" s="15" t="inlineStr">
        <is>
          <t>.xltm</t>
        </is>
      </c>
      <c r="B27" s="15" t="inlineStr">
        <is>
          <t>Yes</t>
        </is>
      </c>
      <c r="C27" s="15" t="inlineStr">
        <is>
          <t>Macro-enabled templates</t>
        </is>
      </c>
    </row>
    <row r="28">
      <c r="A28" s="7" t="inlineStr">
        <is>
          <t>.xls</t>
        </is>
      </c>
      <c r="B28" s="7" t="inlineStr">
        <is>
          <t>Yes</t>
        </is>
      </c>
      <c r="C28" s="7" t="inlineStr">
        <is>
          <t>Legacy files from older systems</t>
        </is>
      </c>
    </row>
    <row r="30">
      <c r="A30" s="9" t="inlineStr">
        <is>
          <t>Table C — Checklist</t>
        </is>
      </c>
    </row>
    <row r="31" ht="30" customHeight="1">
      <c r="A31" s="10" t="inlineStr">
        <is>
          <t>Step</t>
        </is>
      </c>
      <c r="B31" s="10" t="inlineStr">
        <is>
          <t>Where</t>
        </is>
      </c>
      <c r="C31" s="10" t="inlineStr">
        <is>
          <t>Done?</t>
        </is>
      </c>
    </row>
    <row r="32">
      <c r="A32" s="7" t="inlineStr">
        <is>
          <t>Show the Developer tab</t>
        </is>
      </c>
      <c r="B32" s="7" t="inlineStr">
        <is>
          <t>File &gt; Options &gt; Customize Ribbon</t>
        </is>
      </c>
      <c r="C32" s="7" t="inlineStr"/>
    </row>
    <row r="33">
      <c r="A33" s="15" t="inlineStr">
        <is>
          <t>Check macro security</t>
        </is>
      </c>
      <c r="B33" s="15" t="inlineStr">
        <is>
          <t>Developer &gt; Macro Security</t>
        </is>
      </c>
      <c r="C33" s="15" t="inlineStr"/>
    </row>
    <row r="34">
      <c r="A34" s="7" t="inlineStr">
        <is>
          <t>Confirm the file is saved as .xlsm</t>
        </is>
      </c>
      <c r="B34" s="7" t="inlineStr">
        <is>
          <t>File &gt; Save As</t>
        </is>
      </c>
      <c r="C34" s="7" t="inlineStr"/>
    </row>
    <row r="35">
      <c r="A35" s="15" t="inlineStr">
        <is>
          <t>Locate the Visual Basic Editor</t>
        </is>
      </c>
      <c r="B35" s="15" t="inlineStr">
        <is>
          <t>Developer &gt; Visual Basic or Alt+F11</t>
        </is>
      </c>
      <c r="C35" s="15" t="inlineStr"/>
    </row>
    <row r="36">
      <c r="A36" s="7" t="inlineStr">
        <is>
          <t>Locate the Record Macro button</t>
        </is>
      </c>
      <c r="B36" s="7" t="inlineStr">
        <is>
          <t>Developer tab or the status bar</t>
        </is>
      </c>
      <c r="C36" s="7" t="inlineStr"/>
    </row>
    <row r="38">
      <c r="A38"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09.xml><?xml version="1.0" encoding="utf-8"?>
<worksheet xmlns="http://schemas.openxmlformats.org/spreadsheetml/2006/main">
  <sheetPr>
    <tabColor rgb="00C00000"/>
    <outlinePr summaryBelow="1" summaryRight="1"/>
    <pageSetUpPr/>
  </sheetPr>
  <dimension ref="A1:L33"/>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Workstation readiness for the automation rollout</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Twelve analysts start building reporting macros next week. Three cannot see the Developer tab, one has macro security set to disable everything without notification, and two saved macro workbooks as .xlsx last month and lost a day's work when the code was stripped without warning.</t>
        </is>
      </c>
    </row>
    <row r="9">
      <c r="A9" s="25" t="inlineStr">
        <is>
          <t>Source data: '4.6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Workstation readiness for the automation rollout</t>
        </is>
      </c>
      <c r="C13" s="38" t="inlineStr">
        <is>
          <t>A readiness record: Developer tab enabled and its five groups listed, current macro security setting recorded without changing it, and the two routes to the Record Macro button identified.</t>
        </is>
      </c>
      <c r="D13" s="37" t="inlineStr">
        <is>
          <t>Head of MIS</t>
        </is>
      </c>
      <c r="E13" s="31" t="n"/>
    </row>
    <row r="14" ht="65" customHeight="1">
      <c r="A14" s="35" t="n">
        <v>2</v>
      </c>
      <c r="B14" s="36" t="inlineStr">
        <is>
          <t>File format standard for macro-enabled reporting tools</t>
        </is>
      </c>
      <c r="C14" s="38" t="inlineStr">
        <is>
          <t>A file format standard for the team: which extensions can hold macros, which cannot, what Excel does if you save a macro workbook as .xlsx, and which format Adamjee reporting tools will use.</t>
        </is>
      </c>
      <c r="D14" s="37" t="inlineStr">
        <is>
          <t>Head of MIS</t>
        </is>
      </c>
      <c r="E14" s="31" t="n"/>
    </row>
    <row r="15" ht="52" customHeight="1">
      <c r="A15" s="35" t="n">
        <v>3</v>
      </c>
      <c r="B15" s="36" t="inlineStr">
        <is>
          <t>IT policy blockers log</t>
        </is>
      </c>
      <c r="C15" s="38" t="inlineStr">
        <is>
          <t>The completed readiness checklist with any step blocked by IT policy identified, so the blockers can be raised with the IT security team rather than worked around.</t>
        </is>
      </c>
      <c r="D15" s="37" t="inlineStr">
        <is>
          <t>Head of MIS</t>
        </is>
      </c>
      <c r="E15" s="31" t="n"/>
    </row>
    <row r="17" ht="20" customHeight="1">
      <c r="A17" s="33" t="inlineStr">
        <is>
          <t>BUILD YOUR REPORT / OUTPUT BELOW  (pivot, chart, macro output, or model — as required above)</t>
        </is>
      </c>
    </row>
    <row r="18" ht="16" customHeight="1">
      <c r="A18" s="31" t="n"/>
      <c r="B18" s="31" t="n"/>
      <c r="C18" s="31" t="n"/>
      <c r="D18" s="31" t="n"/>
      <c r="E18" s="31" t="n"/>
      <c r="F18" s="31" t="n"/>
      <c r="G18" s="31" t="n"/>
      <c r="H18" s="31" t="n"/>
      <c r="I18" s="31" t="n"/>
      <c r="J18" s="31" t="n"/>
      <c r="K18" s="31" t="n"/>
    </row>
    <row r="19">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3" ht="32" customHeight="1">
      <c r="A33"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7:K7"/>
    <mergeCell ref="A1:L1"/>
    <mergeCell ref="A33:E33"/>
    <mergeCell ref="A11:E11"/>
    <mergeCell ref="A17:E17"/>
  </mergeCells>
  <hyperlinks>
    <hyperlink xmlns:r="http://schemas.openxmlformats.org/officeDocument/2006/relationships" ref="A9" r:id="rId1"/>
  </hyperlinks>
  <pageMargins left="0.75" right="0.75" top="1" bottom="1" header="0.5" footer="0.5"/>
</worksheet>
</file>

<file path=xl/worksheets/sheet110.xml><?xml version="1.0" encoding="utf-8"?>
<worksheet xmlns="http://schemas.openxmlformats.org/spreadsheetml/2006/main">
  <sheetPr>
    <tabColor rgb="001F3864"/>
    <outlinePr summaryBelow="1" summaryRight="1"/>
    <pageSetUpPr/>
  </sheetPr>
  <dimension ref="A1:H49"/>
  <sheetViews>
    <sheetView showGridLines="0" workbookViewId="0">
      <pane ySplit="5" topLeftCell="A6" activePane="bottomLeft" state="frozen"/>
      <selection pane="bottomLeft" activeCell="A1" sqref="A1"/>
    </sheetView>
  </sheetViews>
  <sheetFormatPr baseColWidth="8" defaultRowHeight="15"/>
  <cols>
    <col width="8" customWidth="1" min="1" max="1"/>
    <col width="62" customWidth="1" min="2" max="2"/>
    <col width="18" customWidth="1" min="3" max="3"/>
    <col width="14" customWidth="1" min="4" max="4"/>
    <col width="16" customWidth="1" min="5" max="5"/>
    <col width="16" customWidth="1" min="6" max="6"/>
    <col width="16" customWidth="1" min="7" max="7"/>
    <col width="14" customWidth="1" min="8" max="8"/>
  </cols>
  <sheetData>
    <row r="1" ht="26" customHeight="1">
      <c r="A1" s="1" t="inlineStr">
        <is>
          <t>Dataset 4.7  —  Recording a Macro (Formatting, Sorting, Report Generation)</t>
        </is>
      </c>
    </row>
    <row r="2" ht="16" customHeight="1">
      <c r="A2" s="2" t="inlineStr">
        <is>
          <t>Session 4: Advanced Charts, Macros &amp; Workbook Management | Part B: Introduction to Macros   |   Adamjee Assurance Company Limited (Pakistan) — training data, figures in PKR</t>
        </is>
      </c>
    </row>
    <row r="4">
      <c r="A4" s="9" t="inlineStr">
        <is>
          <t>Table A — Raw weekly extract, completely unformatted (record your macro on this)</t>
        </is>
      </c>
    </row>
    <row r="5" ht="30" customHeight="1">
      <c r="A5" s="10" t="inlineStr">
        <is>
          <t>Policy No</t>
        </is>
      </c>
      <c r="B5" s="10" t="inlineStr">
        <is>
          <t>Branch</t>
        </is>
      </c>
      <c r="C5" s="10" t="inlineStr">
        <is>
          <t>Product</t>
        </is>
      </c>
      <c r="D5" s="10" t="inlineStr">
        <is>
          <t>Booking Date</t>
        </is>
      </c>
      <c r="E5" s="10" t="inlineStr">
        <is>
          <t>Sum Insured</t>
        </is>
      </c>
      <c r="F5" s="10" t="inlineStr">
        <is>
          <t>Gross Premium</t>
        </is>
      </c>
      <c r="G5" s="10" t="inlineStr">
        <is>
          <t>Claims Paid</t>
        </is>
      </c>
      <c r="H5" s="10" t="inlineStr">
        <is>
          <t>Status</t>
        </is>
      </c>
    </row>
    <row r="6">
      <c r="A6" s="7" t="inlineStr">
        <is>
          <t>ADM-FIR-KHI-2024-1001</t>
        </is>
      </c>
      <c r="B6" s="7" t="inlineStr">
        <is>
          <t>Karachi Main</t>
        </is>
      </c>
      <c r="C6" s="7" t="inlineStr">
        <is>
          <t>Fire &amp; Property</t>
        </is>
      </c>
      <c r="D6" s="44" t="n">
        <v>45532</v>
      </c>
      <c r="E6" s="43" t="n">
        <v>4500000</v>
      </c>
      <c r="F6" s="43" t="n">
        <v>96000</v>
      </c>
      <c r="G6" s="43" t="n">
        <v>54474</v>
      </c>
      <c r="H6" s="7" t="inlineStr">
        <is>
          <t>Active</t>
        </is>
      </c>
    </row>
    <row r="7">
      <c r="A7" s="15" t="inlineStr">
        <is>
          <t>ADM-TRV-LHR-2024-1002</t>
        </is>
      </c>
      <c r="B7" s="15" t="inlineStr">
        <is>
          <t>Lahore Gulberg</t>
        </is>
      </c>
      <c r="C7" s="15" t="inlineStr">
        <is>
          <t>Travel</t>
        </is>
      </c>
      <c r="D7" s="45" t="n">
        <v>45501</v>
      </c>
      <c r="E7" s="42" t="n">
        <v>12000000</v>
      </c>
      <c r="F7" s="42" t="n">
        <v>201000</v>
      </c>
      <c r="G7" s="42" t="n">
        <v>210808</v>
      </c>
      <c r="H7" s="15" t="inlineStr">
        <is>
          <t>Active</t>
        </is>
      </c>
    </row>
    <row r="8">
      <c r="A8" s="7" t="inlineStr">
        <is>
          <t>ADM-MTR-ISB-2024-1003</t>
        </is>
      </c>
      <c r="B8" s="7" t="inlineStr">
        <is>
          <t>Islamabad Blue Area</t>
        </is>
      </c>
      <c r="C8" s="7" t="inlineStr">
        <is>
          <t>Motor</t>
        </is>
      </c>
      <c r="D8" s="44" t="n">
        <v>45504</v>
      </c>
      <c r="E8" s="43" t="n">
        <v>65000000</v>
      </c>
      <c r="F8" s="43" t="n">
        <v>1397000</v>
      </c>
      <c r="G8" s="43" t="n">
        <v>526344</v>
      </c>
      <c r="H8" s="7" t="inlineStr">
        <is>
          <t>Active</t>
        </is>
      </c>
    </row>
    <row r="9">
      <c r="A9" s="15" t="inlineStr">
        <is>
          <t>ADM-HLT-FSD-2024-1004</t>
        </is>
      </c>
      <c r="B9" s="15" t="inlineStr">
        <is>
          <t>Faisalabad</t>
        </is>
      </c>
      <c r="C9" s="15" t="inlineStr">
        <is>
          <t>Health</t>
        </is>
      </c>
      <c r="D9" s="45" t="n">
        <v>45570</v>
      </c>
      <c r="E9" s="42" t="n">
        <v>18500000</v>
      </c>
      <c r="F9" s="42" t="n">
        <v>305000</v>
      </c>
      <c r="G9" s="42" t="n">
        <v>244683</v>
      </c>
      <c r="H9" s="15" t="inlineStr">
        <is>
          <t>Cancelled</t>
        </is>
      </c>
    </row>
    <row r="10">
      <c r="A10" s="7" t="inlineStr">
        <is>
          <t>ADM-MSC-MUL-2024-1005</t>
        </is>
      </c>
      <c r="B10" s="7" t="inlineStr">
        <is>
          <t>Multan</t>
        </is>
      </c>
      <c r="C10" s="7" t="inlineStr">
        <is>
          <t>Miscellaneous</t>
        </is>
      </c>
      <c r="D10" s="44" t="n">
        <v>45531</v>
      </c>
      <c r="E10" s="43" t="n">
        <v>4500000</v>
      </c>
      <c r="F10" s="43" t="n">
        <v>75000</v>
      </c>
      <c r="G10" s="43" t="n">
        <v>38202</v>
      </c>
      <c r="H10" s="7" t="inlineStr">
        <is>
          <t>Active</t>
        </is>
      </c>
    </row>
    <row r="11">
      <c r="A11" s="15" t="inlineStr">
        <is>
          <t>ADM-MAR-PEW-2024-1006</t>
        </is>
      </c>
      <c r="B11" s="15" t="inlineStr">
        <is>
          <t>Peshawar</t>
        </is>
      </c>
      <c r="C11" s="15" t="inlineStr">
        <is>
          <t>Marine Cargo</t>
        </is>
      </c>
      <c r="D11" s="45" t="n">
        <v>45470</v>
      </c>
      <c r="E11" s="42" t="n">
        <v>25000000</v>
      </c>
      <c r="F11" s="42" t="n">
        <v>380000</v>
      </c>
      <c r="G11" s="42" t="n">
        <v>464801</v>
      </c>
      <c r="H11" s="15" t="inlineStr">
        <is>
          <t>Active</t>
        </is>
      </c>
    </row>
    <row r="12">
      <c r="A12" s="7" t="inlineStr">
        <is>
          <t>ADM-ENG-QTA-2024-1007</t>
        </is>
      </c>
      <c r="B12" s="7" t="inlineStr">
        <is>
          <t>Quetta</t>
        </is>
      </c>
      <c r="C12" s="7" t="inlineStr">
        <is>
          <t>Engineering</t>
        </is>
      </c>
      <c r="D12" s="44" t="n">
        <v>45491</v>
      </c>
      <c r="E12" s="43" t="n">
        <v>18500000</v>
      </c>
      <c r="F12" s="43" t="n">
        <v>227000</v>
      </c>
      <c r="G12" s="43" t="n">
        <v>231588</v>
      </c>
      <c r="H12" s="7" t="inlineStr">
        <is>
          <t>Active</t>
        </is>
      </c>
    </row>
    <row r="13">
      <c r="A13" s="15" t="inlineStr">
        <is>
          <t>ADM-FIR-HYD-2024-1008</t>
        </is>
      </c>
      <c r="B13" s="15" t="inlineStr">
        <is>
          <t>Hyderabad</t>
        </is>
      </c>
      <c r="C13" s="15" t="inlineStr">
        <is>
          <t>Fire &amp; Property</t>
        </is>
      </c>
      <c r="D13" s="45" t="n">
        <v>45510</v>
      </c>
      <c r="E13" s="42" t="n">
        <v>25000000</v>
      </c>
      <c r="F13" s="42" t="n">
        <v>290000</v>
      </c>
      <c r="G13" s="42" t="n">
        <v>278529</v>
      </c>
      <c r="H13" s="15" t="inlineStr">
        <is>
          <t>Renewed</t>
        </is>
      </c>
    </row>
    <row r="14">
      <c r="A14" s="7" t="inlineStr">
        <is>
          <t>ADM-TRV-SKT-2024-1009</t>
        </is>
      </c>
      <c r="B14" s="7" t="inlineStr">
        <is>
          <t>Sialkot</t>
        </is>
      </c>
      <c r="C14" s="7" t="inlineStr">
        <is>
          <t>Travel</t>
        </is>
      </c>
      <c r="D14" s="44" t="n">
        <v>45409</v>
      </c>
      <c r="E14" s="43" t="n">
        <v>7500000</v>
      </c>
      <c r="F14" s="43" t="n">
        <v>37000</v>
      </c>
      <c r="G14" s="43" t="n">
        <v>46717</v>
      </c>
      <c r="H14" s="7" t="inlineStr">
        <is>
          <t>Active</t>
        </is>
      </c>
    </row>
    <row r="15">
      <c r="A15" s="15" t="inlineStr">
        <is>
          <t>ADM-MTR-RWP-2024-1010</t>
        </is>
      </c>
      <c r="B15" s="15" t="inlineStr">
        <is>
          <t>Rawalpindi</t>
        </is>
      </c>
      <c r="C15" s="15" t="inlineStr">
        <is>
          <t>Motor</t>
        </is>
      </c>
      <c r="D15" s="45" t="n">
        <v>45424</v>
      </c>
      <c r="E15" s="42" t="n">
        <v>65000000</v>
      </c>
      <c r="F15" s="42" t="n">
        <v>760000</v>
      </c>
      <c r="G15" s="42" t="n">
        <v>122757</v>
      </c>
      <c r="H15" s="15" t="inlineStr">
        <is>
          <t>Cancelled</t>
        </is>
      </c>
    </row>
    <row r="16">
      <c r="A16" s="7" t="inlineStr">
        <is>
          <t>ADM-HLT-KHI-2024-1011</t>
        </is>
      </c>
      <c r="B16" s="7" t="inlineStr">
        <is>
          <t>Karachi Main</t>
        </is>
      </c>
      <c r="C16" s="7" t="inlineStr">
        <is>
          <t>Health</t>
        </is>
      </c>
      <c r="D16" s="44" t="n">
        <v>45507</v>
      </c>
      <c r="E16" s="43" t="n">
        <v>90000000</v>
      </c>
      <c r="F16" s="43" t="n">
        <v>603000</v>
      </c>
      <c r="G16" s="43" t="n">
        <v>66680</v>
      </c>
      <c r="H16" s="7" t="inlineStr">
        <is>
          <t>Active</t>
        </is>
      </c>
    </row>
    <row r="17">
      <c r="A17" s="15" t="inlineStr">
        <is>
          <t>ADM-MSC-LHR-2024-1012</t>
        </is>
      </c>
      <c r="B17" s="15" t="inlineStr">
        <is>
          <t>Lahore Gulberg</t>
        </is>
      </c>
      <c r="C17" s="15" t="inlineStr">
        <is>
          <t>Miscellaneous</t>
        </is>
      </c>
      <c r="D17" s="45" t="n">
        <v>45412</v>
      </c>
      <c r="E17" s="42" t="n">
        <v>40000000</v>
      </c>
      <c r="F17" s="42" t="n">
        <v>512000</v>
      </c>
      <c r="G17" s="42" t="n">
        <v>360558</v>
      </c>
      <c r="H17" s="15" t="inlineStr">
        <is>
          <t>Active</t>
        </is>
      </c>
    </row>
    <row r="18">
      <c r="A18" s="7" t="inlineStr">
        <is>
          <t>ADM-MAR-ISB-2024-1013</t>
        </is>
      </c>
      <c r="B18" s="7" t="inlineStr">
        <is>
          <t>Islamabad Blue Area</t>
        </is>
      </c>
      <c r="C18" s="7" t="inlineStr">
        <is>
          <t>Marine Cargo</t>
        </is>
      </c>
      <c r="D18" s="44" t="n">
        <v>45544</v>
      </c>
      <c r="E18" s="43" t="n">
        <v>90000000</v>
      </c>
      <c r="F18" s="43" t="n">
        <v>2169000</v>
      </c>
      <c r="G18" s="43" t="n">
        <v>2394637</v>
      </c>
      <c r="H18" s="7" t="inlineStr">
        <is>
          <t>Active</t>
        </is>
      </c>
    </row>
    <row r="19">
      <c r="A19" s="15" t="inlineStr">
        <is>
          <t>ADM-ENG-FSD-2024-1014</t>
        </is>
      </c>
      <c r="B19" s="15" t="inlineStr">
        <is>
          <t>Faisalabad</t>
        </is>
      </c>
      <c r="C19" s="15" t="inlineStr">
        <is>
          <t>Engineering</t>
        </is>
      </c>
      <c r="D19" s="45" t="n">
        <v>45490</v>
      </c>
      <c r="E19" s="42" t="n">
        <v>90000000</v>
      </c>
      <c r="F19" s="42" t="n">
        <v>1089000</v>
      </c>
      <c r="G19" s="42" t="n">
        <v>480893</v>
      </c>
      <c r="H19" s="15" t="inlineStr">
        <is>
          <t>Active</t>
        </is>
      </c>
    </row>
    <row r="20">
      <c r="A20" s="7" t="inlineStr">
        <is>
          <t>ADM-FIR-MUL-2024-1015</t>
        </is>
      </c>
      <c r="B20" s="7" t="inlineStr">
        <is>
          <t>Multan</t>
        </is>
      </c>
      <c r="C20" s="7" t="inlineStr">
        <is>
          <t>Fire &amp; Property</t>
        </is>
      </c>
      <c r="D20" s="44" t="n">
        <v>45359</v>
      </c>
      <c r="E20" s="43" t="n">
        <v>18500000</v>
      </c>
      <c r="F20" s="43" t="n">
        <v>484000</v>
      </c>
      <c r="G20" s="43" t="n">
        <v>718685</v>
      </c>
      <c r="H20" s="7" t="inlineStr">
        <is>
          <t>Cancelled</t>
        </is>
      </c>
    </row>
    <row r="21">
      <c r="A21" s="15" t="inlineStr">
        <is>
          <t>ADM-TRV-PEW-2024-1016</t>
        </is>
      </c>
      <c r="B21" s="15" t="inlineStr">
        <is>
          <t>Peshawar</t>
        </is>
      </c>
      <c r="C21" s="15" t="inlineStr">
        <is>
          <t>Travel</t>
        </is>
      </c>
      <c r="D21" s="45" t="n">
        <v>45325</v>
      </c>
      <c r="E21" s="42" t="n">
        <v>2800000</v>
      </c>
      <c r="F21" s="42" t="n">
        <v>74000</v>
      </c>
      <c r="G21" s="42" t="n">
        <v>15717</v>
      </c>
      <c r="H21" s="15" t="inlineStr">
        <is>
          <t>Active</t>
        </is>
      </c>
    </row>
    <row r="22">
      <c r="A22" s="7" t="inlineStr">
        <is>
          <t>ADM-MTR-QTA-2024-1017</t>
        </is>
      </c>
      <c r="B22" s="7" t="inlineStr">
        <is>
          <t>Quetta</t>
        </is>
      </c>
      <c r="C22" s="7" t="inlineStr">
        <is>
          <t>Motor</t>
        </is>
      </c>
      <c r="D22" s="44" t="n">
        <v>45369</v>
      </c>
      <c r="E22" s="43" t="n">
        <v>40000000</v>
      </c>
      <c r="F22" s="43" t="n">
        <v>835000</v>
      </c>
      <c r="G22" s="43" t="n">
        <v>667750</v>
      </c>
      <c r="H22" s="7" t="inlineStr">
        <is>
          <t>Active</t>
        </is>
      </c>
    </row>
    <row r="23">
      <c r="A23" s="15" t="inlineStr">
        <is>
          <t>ADM-HLT-HYD-2024-1018</t>
        </is>
      </c>
      <c r="B23" s="15" t="inlineStr">
        <is>
          <t>Hyderabad</t>
        </is>
      </c>
      <c r="C23" s="15" t="inlineStr">
        <is>
          <t>Health</t>
        </is>
      </c>
      <c r="D23" s="45" t="n">
        <v>45333</v>
      </c>
      <c r="E23" s="42" t="n">
        <v>7500000</v>
      </c>
      <c r="F23" s="42" t="n">
        <v>174000</v>
      </c>
      <c r="G23" s="42" t="n">
        <v>252373</v>
      </c>
      <c r="H23" s="15" t="inlineStr">
        <is>
          <t>Cancelled</t>
        </is>
      </c>
    </row>
    <row r="24">
      <c r="A24" s="7" t="inlineStr">
        <is>
          <t>ADM-MSC-SKT-2024-1019</t>
        </is>
      </c>
      <c r="B24" s="7" t="inlineStr">
        <is>
          <t>Sialkot</t>
        </is>
      </c>
      <c r="C24" s="7" t="inlineStr">
        <is>
          <t>Miscellaneous</t>
        </is>
      </c>
      <c r="D24" s="44" t="n">
        <v>45528</v>
      </c>
      <c r="E24" s="43" t="n">
        <v>90000000</v>
      </c>
      <c r="F24" s="43" t="n">
        <v>927000</v>
      </c>
      <c r="G24" s="43" t="n">
        <v>54810</v>
      </c>
      <c r="H24" s="7" t="inlineStr">
        <is>
          <t>Renewed</t>
        </is>
      </c>
    </row>
    <row r="25">
      <c r="A25" s="15" t="inlineStr">
        <is>
          <t>ADM-MAR-RWP-2024-1020</t>
        </is>
      </c>
      <c r="B25" s="15" t="inlineStr">
        <is>
          <t>Rawalpindi</t>
        </is>
      </c>
      <c r="C25" s="15" t="inlineStr">
        <is>
          <t>Marine Cargo</t>
        </is>
      </c>
      <c r="D25" s="45" t="n">
        <v>45504</v>
      </c>
      <c r="E25" s="42" t="n">
        <v>7500000</v>
      </c>
      <c r="F25" s="42" t="n">
        <v>181000</v>
      </c>
      <c r="G25" s="42" t="n">
        <v>231899</v>
      </c>
      <c r="H25" s="15" t="inlineStr">
        <is>
          <t>Active</t>
        </is>
      </c>
    </row>
    <row r="26">
      <c r="A26" s="7" t="inlineStr">
        <is>
          <t>ADM-ENG-KHI-2024-1021</t>
        </is>
      </c>
      <c r="B26" s="7" t="inlineStr">
        <is>
          <t>Karachi Main</t>
        </is>
      </c>
      <c r="C26" s="7" t="inlineStr">
        <is>
          <t>Engineering</t>
        </is>
      </c>
      <c r="D26" s="44" t="n">
        <v>45434</v>
      </c>
      <c r="E26" s="43" t="n">
        <v>4500000</v>
      </c>
      <c r="F26" s="43" t="n">
        <v>78000</v>
      </c>
      <c r="G26" s="43" t="n">
        <v>72493</v>
      </c>
      <c r="H26" s="7" t="inlineStr">
        <is>
          <t>Lapsed</t>
        </is>
      </c>
    </row>
    <row r="27">
      <c r="A27" s="15" t="inlineStr">
        <is>
          <t>ADM-FIR-LHR-2024-1022</t>
        </is>
      </c>
      <c r="B27" s="15" t="inlineStr">
        <is>
          <t>Lahore Gulberg</t>
        </is>
      </c>
      <c r="C27" s="15" t="inlineStr">
        <is>
          <t>Fire &amp; Property</t>
        </is>
      </c>
      <c r="D27" s="45" t="n">
        <v>45343</v>
      </c>
      <c r="E27" s="42" t="n">
        <v>40000000</v>
      </c>
      <c r="F27" s="42" t="n">
        <v>368000</v>
      </c>
      <c r="G27" s="42" t="n">
        <v>547416</v>
      </c>
      <c r="H27" s="15" t="inlineStr">
        <is>
          <t>Renewed</t>
        </is>
      </c>
    </row>
    <row r="28">
      <c r="A28" s="7" t="inlineStr">
        <is>
          <t>ADM-TRV-ISB-2024-1023</t>
        </is>
      </c>
      <c r="B28" s="7" t="inlineStr">
        <is>
          <t>Islamabad Blue Area</t>
        </is>
      </c>
      <c r="C28" s="7" t="inlineStr">
        <is>
          <t>Travel</t>
        </is>
      </c>
      <c r="D28" s="44" t="n">
        <v>45382</v>
      </c>
      <c r="E28" s="43" t="n">
        <v>65000000</v>
      </c>
      <c r="F28" s="43" t="n">
        <v>1586000</v>
      </c>
      <c r="G28" s="43" t="n">
        <v>1355486</v>
      </c>
      <c r="H28" s="7" t="inlineStr">
        <is>
          <t>Active</t>
        </is>
      </c>
    </row>
    <row r="29">
      <c r="A29" s="15" t="inlineStr">
        <is>
          <t>ADM-MTR-FSD-2024-1024</t>
        </is>
      </c>
      <c r="B29" s="15" t="inlineStr">
        <is>
          <t>Faisalabad</t>
        </is>
      </c>
      <c r="C29" s="15" t="inlineStr">
        <is>
          <t>Motor</t>
        </is>
      </c>
      <c r="D29" s="45" t="n">
        <v>45315</v>
      </c>
      <c r="E29" s="42" t="n">
        <v>90000000</v>
      </c>
      <c r="F29" s="42" t="n">
        <v>2304000</v>
      </c>
      <c r="G29" s="42" t="n">
        <v>1204713</v>
      </c>
      <c r="H29" s="15" t="inlineStr">
        <is>
          <t>Renewed</t>
        </is>
      </c>
    </row>
    <row r="30">
      <c r="A30" s="7" t="inlineStr">
        <is>
          <t>ADM-HLT-MUL-2024-1025</t>
        </is>
      </c>
      <c r="B30" s="7" t="inlineStr">
        <is>
          <t>Multan</t>
        </is>
      </c>
      <c r="C30" s="7" t="inlineStr">
        <is>
          <t>Health</t>
        </is>
      </c>
      <c r="D30" s="44" t="n">
        <v>45616</v>
      </c>
      <c r="E30" s="43" t="n">
        <v>2800000</v>
      </c>
      <c r="F30" s="43" t="n">
        <v>19000</v>
      </c>
      <c r="G30" s="43" t="n">
        <v>27174</v>
      </c>
      <c r="H30" s="7" t="inlineStr">
        <is>
          <t>Lapsed</t>
        </is>
      </c>
    </row>
    <row r="31">
      <c r="A31" s="15" t="inlineStr">
        <is>
          <t>ADM-MSC-PEW-2024-1026</t>
        </is>
      </c>
      <c r="B31" s="15" t="inlineStr">
        <is>
          <t>Peshawar</t>
        </is>
      </c>
      <c r="C31" s="15" t="inlineStr">
        <is>
          <t>Miscellaneous</t>
        </is>
      </c>
      <c r="D31" s="45" t="n">
        <v>45356</v>
      </c>
      <c r="E31" s="42" t="n">
        <v>7500000</v>
      </c>
      <c r="F31" s="42" t="n">
        <v>193000</v>
      </c>
      <c r="G31" s="42" t="n">
        <v>223258</v>
      </c>
      <c r="H31" s="15" t="inlineStr">
        <is>
          <t>Active</t>
        </is>
      </c>
    </row>
    <row r="32">
      <c r="A32" s="7" t="inlineStr">
        <is>
          <t>ADM-MAR-QTA-2024-1027</t>
        </is>
      </c>
      <c r="B32" s="7" t="inlineStr">
        <is>
          <t>Quetta</t>
        </is>
      </c>
      <c r="C32" s="7" t="inlineStr">
        <is>
          <t>Marine Cargo</t>
        </is>
      </c>
      <c r="D32" s="44" t="n">
        <v>45550</v>
      </c>
      <c r="E32" s="43" t="n">
        <v>4500000</v>
      </c>
      <c r="F32" s="43" t="n">
        <v>43000</v>
      </c>
      <c r="G32" s="43" t="n">
        <v>59981</v>
      </c>
      <c r="H32" s="7" t="inlineStr">
        <is>
          <t>Cancelled</t>
        </is>
      </c>
    </row>
    <row r="33">
      <c r="A33" s="15" t="inlineStr">
        <is>
          <t>ADM-ENG-HYD-2024-1028</t>
        </is>
      </c>
      <c r="B33" s="15" t="inlineStr">
        <is>
          <t>Hyderabad</t>
        </is>
      </c>
      <c r="C33" s="15" t="inlineStr">
        <is>
          <t>Engineering</t>
        </is>
      </c>
      <c r="D33" s="45" t="n">
        <v>45376</v>
      </c>
      <c r="E33" s="42" t="n">
        <v>4500000</v>
      </c>
      <c r="F33" s="42" t="n">
        <v>27000</v>
      </c>
      <c r="G33" s="42" t="n">
        <v>21051</v>
      </c>
      <c r="H33" s="15" t="inlineStr">
        <is>
          <t>Active</t>
        </is>
      </c>
    </row>
    <row r="34">
      <c r="A34" s="7" t="inlineStr">
        <is>
          <t>ADM-FIR-SKT-2024-1029</t>
        </is>
      </c>
      <c r="B34" s="7" t="inlineStr">
        <is>
          <t>Sialkot</t>
        </is>
      </c>
      <c r="C34" s="7" t="inlineStr">
        <is>
          <t>Fire &amp; Property</t>
        </is>
      </c>
      <c r="D34" s="44" t="n">
        <v>45596</v>
      </c>
      <c r="E34" s="43" t="n">
        <v>65000000</v>
      </c>
      <c r="F34" s="43" t="n">
        <v>1527000</v>
      </c>
      <c r="G34" s="43" t="n">
        <v>702166</v>
      </c>
      <c r="H34" s="7" t="inlineStr">
        <is>
          <t>Cancelled</t>
        </is>
      </c>
    </row>
    <row r="35">
      <c r="A35" s="15" t="inlineStr">
        <is>
          <t>ADM-TRV-RWP-2024-1030</t>
        </is>
      </c>
      <c r="B35" s="15" t="inlineStr">
        <is>
          <t>Rawalpindi</t>
        </is>
      </c>
      <c r="C35" s="15" t="inlineStr">
        <is>
          <t>Travel</t>
        </is>
      </c>
      <c r="D35" s="45" t="n">
        <v>45307</v>
      </c>
      <c r="E35" s="42" t="n">
        <v>90000000</v>
      </c>
      <c r="F35" s="42" t="n">
        <v>594000</v>
      </c>
      <c r="G35" s="42" t="n">
        <v>553897</v>
      </c>
      <c r="H35" s="15" t="inlineStr">
        <is>
          <t>Lapsed</t>
        </is>
      </c>
    </row>
    <row r="37">
      <c r="A37" s="9" t="inlineStr">
        <is>
          <t>Table B — The weekly formatting standard to record</t>
        </is>
      </c>
    </row>
    <row r="38" ht="30" customHeight="1">
      <c r="A38" s="10" t="inlineStr">
        <is>
          <t>Step</t>
        </is>
      </c>
      <c r="B38" s="10" t="inlineStr">
        <is>
          <t>Action required</t>
        </is>
      </c>
    </row>
    <row r="39">
      <c r="A39" s="43" t="n">
        <v>1</v>
      </c>
      <c r="B39" s="7" t="inlineStr">
        <is>
          <t>Bold the header row, white text on dark blue fill</t>
        </is>
      </c>
    </row>
    <row r="40">
      <c r="A40" s="42" t="n">
        <v>2</v>
      </c>
      <c r="B40" s="15" t="inlineStr">
        <is>
          <t>Freeze the header row</t>
        </is>
      </c>
    </row>
    <row r="41">
      <c r="A41" s="43" t="n">
        <v>3</v>
      </c>
      <c r="B41" s="7" t="inlineStr">
        <is>
          <t>Apply #,##0 to all amount columns</t>
        </is>
      </c>
    </row>
    <row r="42">
      <c r="A42" s="42" t="n">
        <v>4</v>
      </c>
      <c r="B42" s="15" t="inlineStr">
        <is>
          <t>Apply dd-mmm-yyyy to the date column</t>
        </is>
      </c>
    </row>
    <row r="43">
      <c r="A43" s="43" t="n">
        <v>5</v>
      </c>
      <c r="B43" s="7" t="inlineStr">
        <is>
          <t>AutoFit all column widths</t>
        </is>
      </c>
    </row>
    <row r="44">
      <c r="A44" s="42" t="n">
        <v>6</v>
      </c>
      <c r="B44" s="15" t="inlineStr">
        <is>
          <t>Sort descending by Gross Premium</t>
        </is>
      </c>
    </row>
    <row r="45">
      <c r="A45" s="43" t="n">
        <v>7</v>
      </c>
      <c r="B45" s="7" t="inlineStr">
        <is>
          <t>Apply AutoFilter to the header row</t>
        </is>
      </c>
    </row>
    <row r="46">
      <c r="A46" s="42" t="n">
        <v>8</v>
      </c>
      <c r="B46" s="15" t="inlineStr">
        <is>
          <t>Add a total row with SUM under the amount columns</t>
        </is>
      </c>
    </row>
    <row r="47">
      <c r="A47" s="43" t="n">
        <v>9</v>
      </c>
      <c r="B47" s="7" t="inlineStr">
        <is>
          <t>Name the sheet 'Weekly Report'</t>
        </is>
      </c>
    </row>
    <row r="49">
      <c r="A4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11.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Weekly Branch Extract Formatting Macro</t>
        </is>
      </c>
    </row>
    <row r="3">
      <c r="A3" s="21" t="inlineStr">
        <is>
          <t>Prepared for:</t>
        </is>
      </c>
      <c r="B3" s="22" t="inlineStr">
        <is>
          <t>Head of Management Reporting</t>
        </is>
      </c>
    </row>
    <row r="4">
      <c r="A4" s="21" t="inlineStr">
        <is>
          <t>Prepared by:</t>
        </is>
      </c>
      <c r="B4" s="23" t="n"/>
    </row>
    <row r="5">
      <c r="A5" s="21" t="inlineStr">
        <is>
          <t>Reporting date:</t>
        </is>
      </c>
      <c r="B5" s="22" t="inlineStr">
        <is>
          <t>As at reporting date shown on the dataset</t>
        </is>
      </c>
    </row>
    <row r="7" ht="44" customHeight="1">
      <c r="A7" s="24" t="inlineStr">
        <is>
          <t>Every Monday the same raw branch extract is put through the same nine formatting steps by hand. It takes about twenty-five minutes, the result differs slightly each week depending on who did it, and last Monday the sort was applied ascending so the smallest policies appeared first in the pack.</t>
        </is>
      </c>
    </row>
    <row r="9">
      <c r="A9" s="25" t="inlineStr">
        <is>
          <t>Source data: '4.7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Weekly Branch Extract Formatting Macro</t>
        </is>
      </c>
      <c r="C13" s="38" t="inlineStr">
        <is>
          <t>A recorded macro named Format_Weekly_Report, shortcut Ctrl+Shift+F, stored in this workbook, performing all nine steps in the formatting standard. Evidence that undoing the formatting and running the macro reproduces every step.</t>
        </is>
      </c>
      <c r="D13" s="37" t="inlineStr">
        <is>
          <t>Head of Management Reporting</t>
        </is>
      </c>
      <c r="E13" s="31" t="n"/>
    </row>
    <row r="14" ht="39" customHeight="1">
      <c r="A14" s="35" t="n">
        <v>2</v>
      </c>
      <c r="B14" s="36" t="inlineStr">
        <is>
          <t>Branch Premium Summary Macro</t>
        </is>
      </c>
      <c r="C14" s="38" t="inlineStr">
        <is>
          <t>A second recorded macro that builds a premium-by-branch pivot summary from the extract, producing the same layout every run.</t>
        </is>
      </c>
      <c r="D14" s="37" t="inlineStr">
        <is>
          <t>Regional Head — Central</t>
        </is>
      </c>
      <c r="E14" s="31" t="n"/>
    </row>
    <row r="15" ht="65" customHeight="1">
      <c r="A15" s="35" t="n">
        <v>3</v>
      </c>
      <c r="B15" s="36" t="inlineStr">
        <is>
          <t>Row-count fragility test</t>
        </is>
      </c>
      <c r="C15" s="38" t="inlineStr">
        <is>
          <t>Evidence of the fragility: run the macro on an extract with a different row count, record what was missed, then re-record the affected steps using keyboard navigation and confirm it now covers every row.</t>
        </is>
      </c>
      <c r="D15" s="37" t="inlineStr">
        <is>
          <t>Head of MIS</t>
        </is>
      </c>
      <c r="E15" s="31" t="n"/>
    </row>
    <row r="16" ht="52" customHeight="1">
      <c r="A16" s="35" t="n">
        <v>4</v>
      </c>
      <c r="B16" s="36" t="inlineStr">
        <is>
          <t>Relative references demonstration</t>
        </is>
      </c>
      <c r="C16" s="38" t="inlineStr">
        <is>
          <t>The same macro recorded both ways, with a record of how each behaves when run from a different starting cell, and three things that must never be done while the recorder is running.</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12.xml><?xml version="1.0" encoding="utf-8"?>
<worksheet xmlns="http://schemas.openxmlformats.org/spreadsheetml/2006/main">
  <sheetPr>
    <tabColor rgb="001F3864"/>
    <outlinePr summaryBelow="1" summaryRight="1"/>
    <pageSetUpPr/>
  </sheetPr>
  <dimension ref="A1:G39"/>
  <sheetViews>
    <sheetView showGridLines="0" workbookViewId="0">
      <pane ySplit="5" topLeftCell="A6" activePane="bottomLeft" state="frozen"/>
      <selection pane="bottomLeft" activeCell="A1" sqref="A1"/>
    </sheetView>
  </sheetViews>
  <sheetFormatPr baseColWidth="8" defaultRowHeight="15"/>
  <cols>
    <col width="22" customWidth="1" min="1" max="1"/>
    <col width="28" customWidth="1" min="2" max="2"/>
    <col width="26" customWidth="1" min="3" max="3"/>
    <col width="14" customWidth="1" min="4" max="4"/>
    <col width="20" customWidth="1" min="5" max="5"/>
    <col width="20" customWidth="1" min="6" max="6"/>
    <col width="14" customWidth="1" min="7" max="7"/>
  </cols>
  <sheetData>
    <row r="1" ht="26" customHeight="1">
      <c r="A1" s="1" t="inlineStr">
        <is>
          <t>Dataset 4.8  —  Running Macros and Assigning Macros to Buttons</t>
        </is>
      </c>
    </row>
    <row r="2" ht="16" customHeight="1">
      <c r="A2" s="2" t="inlineStr">
        <is>
          <t>Session 4: Advanced Charts, Macros &amp; Workbook Management | Part B: Introduction to Macros   |   Adamjee Assurance Company Limited (Pakistan) — training data, figures in PKR</t>
        </is>
      </c>
    </row>
    <row r="4">
      <c r="A4" s="9" t="inlineStr">
        <is>
          <t>Table A — Report data the buttons will act on</t>
        </is>
      </c>
    </row>
    <row r="5" ht="30" customHeight="1">
      <c r="A5" s="10" t="inlineStr">
        <is>
          <t>Policy No</t>
        </is>
      </c>
      <c r="B5" s="10" t="inlineStr">
        <is>
          <t>Branch</t>
        </is>
      </c>
      <c r="C5" s="10" t="inlineStr">
        <is>
          <t>Product</t>
        </is>
      </c>
      <c r="D5" s="10" t="inlineStr">
        <is>
          <t>Booking Date</t>
        </is>
      </c>
      <c r="E5" s="10" t="inlineStr">
        <is>
          <t>Gross Premium (PKR)</t>
        </is>
      </c>
      <c r="F5" s="10" t="inlineStr">
        <is>
          <t>Claims Paid (PKR)</t>
        </is>
      </c>
      <c r="G5" s="10" t="inlineStr">
        <is>
          <t>Status</t>
        </is>
      </c>
    </row>
    <row r="6">
      <c r="A6" s="7" t="inlineStr">
        <is>
          <t>ADM-FIR-KHI-2024-1001</t>
        </is>
      </c>
      <c r="B6" s="7" t="inlineStr">
        <is>
          <t>Karachi Main</t>
        </is>
      </c>
      <c r="C6" s="7" t="inlineStr">
        <is>
          <t>Fire &amp; Property</t>
        </is>
      </c>
      <c r="D6" s="40" t="n">
        <v>45532</v>
      </c>
      <c r="E6" s="11" t="n">
        <v>96000</v>
      </c>
      <c r="F6" s="11" t="n">
        <v>127087</v>
      </c>
      <c r="G6" s="7" t="inlineStr">
        <is>
          <t>Active</t>
        </is>
      </c>
    </row>
    <row r="7">
      <c r="A7" s="15" t="inlineStr">
        <is>
          <t>ADM-TRV-LHR-2024-1002</t>
        </is>
      </c>
      <c r="B7" s="15" t="inlineStr">
        <is>
          <t>Lahore Gulberg</t>
        </is>
      </c>
      <c r="C7" s="15" t="inlineStr">
        <is>
          <t>Travel</t>
        </is>
      </c>
      <c r="D7" s="41" t="n">
        <v>45501</v>
      </c>
      <c r="E7" s="14" t="n">
        <v>201000</v>
      </c>
      <c r="F7" s="14" t="n">
        <v>199693</v>
      </c>
      <c r="G7" s="15" t="inlineStr">
        <is>
          <t>Active</t>
        </is>
      </c>
    </row>
    <row r="8">
      <c r="A8" s="7" t="inlineStr">
        <is>
          <t>ADM-MTR-ISB-2024-1003</t>
        </is>
      </c>
      <c r="B8" s="7" t="inlineStr">
        <is>
          <t>Islamabad Blue Area</t>
        </is>
      </c>
      <c r="C8" s="7" t="inlineStr">
        <is>
          <t>Motor</t>
        </is>
      </c>
      <c r="D8" s="40" t="n">
        <v>45504</v>
      </c>
      <c r="E8" s="11" t="n">
        <v>1397000</v>
      </c>
      <c r="F8" s="11" t="n">
        <v>1833133</v>
      </c>
      <c r="G8" s="7" t="inlineStr">
        <is>
          <t>Active</t>
        </is>
      </c>
    </row>
    <row r="9">
      <c r="A9" s="15" t="inlineStr">
        <is>
          <t>ADM-HLT-FSD-2024-1004</t>
        </is>
      </c>
      <c r="B9" s="15" t="inlineStr">
        <is>
          <t>Faisalabad</t>
        </is>
      </c>
      <c r="C9" s="15" t="inlineStr">
        <is>
          <t>Health</t>
        </is>
      </c>
      <c r="D9" s="41" t="n">
        <v>45570</v>
      </c>
      <c r="E9" s="14" t="n">
        <v>305000</v>
      </c>
      <c r="F9" s="14" t="n">
        <v>227486</v>
      </c>
      <c r="G9" s="15" t="inlineStr">
        <is>
          <t>Cancelled</t>
        </is>
      </c>
    </row>
    <row r="10">
      <c r="A10" s="7" t="inlineStr">
        <is>
          <t>ADM-MSC-MUL-2024-1005</t>
        </is>
      </c>
      <c r="B10" s="7" t="inlineStr">
        <is>
          <t>Multan</t>
        </is>
      </c>
      <c r="C10" s="7" t="inlineStr">
        <is>
          <t>Miscellaneous</t>
        </is>
      </c>
      <c r="D10" s="40" t="n">
        <v>45531</v>
      </c>
      <c r="E10" s="11" t="n">
        <v>75000</v>
      </c>
      <c r="F10" s="11" t="n">
        <v>103000</v>
      </c>
      <c r="G10" s="7" t="inlineStr">
        <is>
          <t>Active</t>
        </is>
      </c>
    </row>
    <row r="11">
      <c r="A11" s="15" t="inlineStr">
        <is>
          <t>ADM-MAR-PEW-2024-1006</t>
        </is>
      </c>
      <c r="B11" s="15" t="inlineStr">
        <is>
          <t>Peshawar</t>
        </is>
      </c>
      <c r="C11" s="15" t="inlineStr">
        <is>
          <t>Marine Cargo</t>
        </is>
      </c>
      <c r="D11" s="41" t="n">
        <v>45470</v>
      </c>
      <c r="E11" s="14" t="n">
        <v>380000</v>
      </c>
      <c r="F11" s="14" t="n">
        <v>397460</v>
      </c>
      <c r="G11" s="15" t="inlineStr">
        <is>
          <t>Active</t>
        </is>
      </c>
    </row>
    <row r="12">
      <c r="A12" s="7" t="inlineStr">
        <is>
          <t>ADM-ENG-QTA-2024-1007</t>
        </is>
      </c>
      <c r="B12" s="7" t="inlineStr">
        <is>
          <t>Quetta</t>
        </is>
      </c>
      <c r="C12" s="7" t="inlineStr">
        <is>
          <t>Engineering</t>
        </is>
      </c>
      <c r="D12" s="40" t="n">
        <v>45491</v>
      </c>
      <c r="E12" s="11" t="n">
        <v>227000</v>
      </c>
      <c r="F12" s="11" t="n">
        <v>324777</v>
      </c>
      <c r="G12" s="7" t="inlineStr">
        <is>
          <t>Active</t>
        </is>
      </c>
    </row>
    <row r="13">
      <c r="A13" s="15" t="inlineStr">
        <is>
          <t>ADM-FIR-HYD-2024-1008</t>
        </is>
      </c>
      <c r="B13" s="15" t="inlineStr">
        <is>
          <t>Hyderabad</t>
        </is>
      </c>
      <c r="C13" s="15" t="inlineStr">
        <is>
          <t>Fire &amp; Property</t>
        </is>
      </c>
      <c r="D13" s="41" t="n">
        <v>45510</v>
      </c>
      <c r="E13" s="14" t="n">
        <v>290000</v>
      </c>
      <c r="F13" s="14" t="n">
        <v>269275</v>
      </c>
      <c r="G13" s="15" t="inlineStr">
        <is>
          <t>Renewed</t>
        </is>
      </c>
    </row>
    <row r="14">
      <c r="A14" s="7" t="inlineStr">
        <is>
          <t>ADM-TRV-SKT-2024-1009</t>
        </is>
      </c>
      <c r="B14" s="7" t="inlineStr">
        <is>
          <t>Sialkot</t>
        </is>
      </c>
      <c r="C14" s="7" t="inlineStr">
        <is>
          <t>Travel</t>
        </is>
      </c>
      <c r="D14" s="40" t="n">
        <v>45409</v>
      </c>
      <c r="E14" s="11" t="n">
        <v>37000</v>
      </c>
      <c r="F14" s="11" t="n">
        <v>25443</v>
      </c>
      <c r="G14" s="7" t="inlineStr">
        <is>
          <t>Active</t>
        </is>
      </c>
    </row>
    <row r="15">
      <c r="A15" s="15" t="inlineStr">
        <is>
          <t>ADM-MTR-RWP-2024-1010</t>
        </is>
      </c>
      <c r="B15" s="15" t="inlineStr">
        <is>
          <t>Rawalpindi</t>
        </is>
      </c>
      <c r="C15" s="15" t="inlineStr">
        <is>
          <t>Motor</t>
        </is>
      </c>
      <c r="D15" s="41" t="n">
        <v>45424</v>
      </c>
      <c r="E15" s="14" t="n">
        <v>760000</v>
      </c>
      <c r="F15" s="14" t="n">
        <v>635889</v>
      </c>
      <c r="G15" s="15" t="inlineStr">
        <is>
          <t>Cancelled</t>
        </is>
      </c>
    </row>
    <row r="16">
      <c r="A16" s="7" t="inlineStr">
        <is>
          <t>ADM-HLT-KHI-2024-1011</t>
        </is>
      </c>
      <c r="B16" s="7" t="inlineStr">
        <is>
          <t>Karachi Main</t>
        </is>
      </c>
      <c r="C16" s="7" t="inlineStr">
        <is>
          <t>Health</t>
        </is>
      </c>
      <c r="D16" s="40" t="n">
        <v>45507</v>
      </c>
      <c r="E16" s="11" t="n">
        <v>603000</v>
      </c>
      <c r="F16" s="11" t="n">
        <v>709963</v>
      </c>
      <c r="G16" s="7" t="inlineStr">
        <is>
          <t>Active</t>
        </is>
      </c>
    </row>
    <row r="17">
      <c r="A17" s="15" t="inlineStr">
        <is>
          <t>ADM-MSC-LHR-2024-1012</t>
        </is>
      </c>
      <c r="B17" s="15" t="inlineStr">
        <is>
          <t>Lahore Gulberg</t>
        </is>
      </c>
      <c r="C17" s="15" t="inlineStr">
        <is>
          <t>Miscellaneous</t>
        </is>
      </c>
      <c r="D17" s="41" t="n">
        <v>45412</v>
      </c>
      <c r="E17" s="14" t="n">
        <v>512000</v>
      </c>
      <c r="F17" s="14" t="n">
        <v>392696</v>
      </c>
      <c r="G17" s="15" t="inlineStr">
        <is>
          <t>Active</t>
        </is>
      </c>
    </row>
    <row r="18">
      <c r="A18" s="7" t="inlineStr">
        <is>
          <t>ADM-MAR-ISB-2024-1013</t>
        </is>
      </c>
      <c r="B18" s="7" t="inlineStr">
        <is>
          <t>Islamabad Blue Area</t>
        </is>
      </c>
      <c r="C18" s="7" t="inlineStr">
        <is>
          <t>Marine Cargo</t>
        </is>
      </c>
      <c r="D18" s="40" t="n">
        <v>45544</v>
      </c>
      <c r="E18" s="11" t="n">
        <v>2169000</v>
      </c>
      <c r="F18" s="11" t="n">
        <v>1108341</v>
      </c>
      <c r="G18" s="7" t="inlineStr">
        <is>
          <t>Active</t>
        </is>
      </c>
    </row>
    <row r="19">
      <c r="A19" s="15" t="inlineStr">
        <is>
          <t>ADM-ENG-FSD-2024-1014</t>
        </is>
      </c>
      <c r="B19" s="15" t="inlineStr">
        <is>
          <t>Faisalabad</t>
        </is>
      </c>
      <c r="C19" s="15" t="inlineStr">
        <is>
          <t>Engineering</t>
        </is>
      </c>
      <c r="D19" s="41" t="n">
        <v>45490</v>
      </c>
      <c r="E19" s="14" t="n">
        <v>1089000</v>
      </c>
      <c r="F19" s="14" t="n">
        <v>430989</v>
      </c>
      <c r="G19" s="15" t="inlineStr">
        <is>
          <t>Active</t>
        </is>
      </c>
    </row>
    <row r="20">
      <c r="A20" s="7" t="inlineStr">
        <is>
          <t>ADM-FIR-MUL-2024-1015</t>
        </is>
      </c>
      <c r="B20" s="7" t="inlineStr">
        <is>
          <t>Multan</t>
        </is>
      </c>
      <c r="C20" s="7" t="inlineStr">
        <is>
          <t>Fire &amp; Property</t>
        </is>
      </c>
      <c r="D20" s="40" t="n">
        <v>45359</v>
      </c>
      <c r="E20" s="11" t="n">
        <v>484000</v>
      </c>
      <c r="F20" s="11" t="n">
        <v>29378</v>
      </c>
      <c r="G20" s="7" t="inlineStr">
        <is>
          <t>Cancelled</t>
        </is>
      </c>
    </row>
    <row r="21">
      <c r="A21" s="15" t="inlineStr">
        <is>
          <t>ADM-TRV-PEW-2024-1016</t>
        </is>
      </c>
      <c r="B21" s="15" t="inlineStr">
        <is>
          <t>Peshawar</t>
        </is>
      </c>
      <c r="C21" s="15" t="inlineStr">
        <is>
          <t>Travel</t>
        </is>
      </c>
      <c r="D21" s="41" t="n">
        <v>45325</v>
      </c>
      <c r="E21" s="14" t="n">
        <v>74000</v>
      </c>
      <c r="F21" s="14" t="n">
        <v>61931</v>
      </c>
      <c r="G21" s="15" t="inlineStr">
        <is>
          <t>Active</t>
        </is>
      </c>
    </row>
    <row r="22">
      <c r="A22" s="7" t="inlineStr">
        <is>
          <t>ADM-MTR-QTA-2024-1017</t>
        </is>
      </c>
      <c r="B22" s="7" t="inlineStr">
        <is>
          <t>Quetta</t>
        </is>
      </c>
      <c r="C22" s="7" t="inlineStr">
        <is>
          <t>Motor</t>
        </is>
      </c>
      <c r="D22" s="40" t="n">
        <v>45369</v>
      </c>
      <c r="E22" s="11" t="n">
        <v>835000</v>
      </c>
      <c r="F22" s="11" t="n">
        <v>242868</v>
      </c>
      <c r="G22" s="7" t="inlineStr">
        <is>
          <t>Active</t>
        </is>
      </c>
    </row>
    <row r="23">
      <c r="A23" s="15" t="inlineStr">
        <is>
          <t>ADM-HLT-HYD-2024-1018</t>
        </is>
      </c>
      <c r="B23" s="15" t="inlineStr">
        <is>
          <t>Hyderabad</t>
        </is>
      </c>
      <c r="C23" s="15" t="inlineStr">
        <is>
          <t>Health</t>
        </is>
      </c>
      <c r="D23" s="41" t="n">
        <v>45333</v>
      </c>
      <c r="E23" s="14" t="n">
        <v>174000</v>
      </c>
      <c r="F23" s="14" t="n">
        <v>193066</v>
      </c>
      <c r="G23" s="15" t="inlineStr">
        <is>
          <t>Cancelled</t>
        </is>
      </c>
    </row>
    <row r="24">
      <c r="A24" s="7" t="inlineStr">
        <is>
          <t>ADM-MSC-SKT-2024-1019</t>
        </is>
      </c>
      <c r="B24" s="7" t="inlineStr">
        <is>
          <t>Sialkot</t>
        </is>
      </c>
      <c r="C24" s="7" t="inlineStr">
        <is>
          <t>Miscellaneous</t>
        </is>
      </c>
      <c r="D24" s="40" t="n">
        <v>45528</v>
      </c>
      <c r="E24" s="11" t="n">
        <v>927000</v>
      </c>
      <c r="F24" s="11" t="n">
        <v>877475</v>
      </c>
      <c r="G24" s="7" t="inlineStr">
        <is>
          <t>Renewed</t>
        </is>
      </c>
    </row>
    <row r="25">
      <c r="A25" s="15" t="inlineStr">
        <is>
          <t>ADM-MAR-RWP-2024-1020</t>
        </is>
      </c>
      <c r="B25" s="15" t="inlineStr">
        <is>
          <t>Rawalpindi</t>
        </is>
      </c>
      <c r="C25" s="15" t="inlineStr">
        <is>
          <t>Marine Cargo</t>
        </is>
      </c>
      <c r="D25" s="41" t="n">
        <v>45504</v>
      </c>
      <c r="E25" s="14" t="n">
        <v>181000</v>
      </c>
      <c r="F25" s="14" t="n">
        <v>151008</v>
      </c>
      <c r="G25" s="15" t="inlineStr">
        <is>
          <t>Active</t>
        </is>
      </c>
    </row>
    <row r="26">
      <c r="A26" s="7" t="inlineStr">
        <is>
          <t>ADM-ENG-KHI-2024-1021</t>
        </is>
      </c>
      <c r="B26" s="7" t="inlineStr">
        <is>
          <t>Karachi Main</t>
        </is>
      </c>
      <c r="C26" s="7" t="inlineStr">
        <is>
          <t>Engineering</t>
        </is>
      </c>
      <c r="D26" s="40" t="n">
        <v>45434</v>
      </c>
      <c r="E26" s="11" t="n">
        <v>78000</v>
      </c>
      <c r="F26" s="11" t="n">
        <v>83392</v>
      </c>
      <c r="G26" s="7" t="inlineStr">
        <is>
          <t>Lapsed</t>
        </is>
      </c>
    </row>
    <row r="27">
      <c r="A27" s="15" t="inlineStr">
        <is>
          <t>ADM-FIR-LHR-2024-1022</t>
        </is>
      </c>
      <c r="B27" s="15" t="inlineStr">
        <is>
          <t>Lahore Gulberg</t>
        </is>
      </c>
      <c r="C27" s="15" t="inlineStr">
        <is>
          <t>Fire &amp; Property</t>
        </is>
      </c>
      <c r="D27" s="41" t="n">
        <v>45343</v>
      </c>
      <c r="E27" s="14" t="n">
        <v>368000</v>
      </c>
      <c r="F27" s="14" t="n">
        <v>1362</v>
      </c>
      <c r="G27" s="15" t="inlineStr">
        <is>
          <t>Renewed</t>
        </is>
      </c>
    </row>
    <row r="28">
      <c r="A28" s="7" t="inlineStr">
        <is>
          <t>ADM-TRV-ISB-2024-1023</t>
        </is>
      </c>
      <c r="B28" s="7" t="inlineStr">
        <is>
          <t>Islamabad Blue Area</t>
        </is>
      </c>
      <c r="C28" s="7" t="inlineStr">
        <is>
          <t>Travel</t>
        </is>
      </c>
      <c r="D28" s="40" t="n">
        <v>45382</v>
      </c>
      <c r="E28" s="11" t="n">
        <v>1586000</v>
      </c>
      <c r="F28" s="11" t="n">
        <v>1691178</v>
      </c>
      <c r="G28" s="7" t="inlineStr">
        <is>
          <t>Active</t>
        </is>
      </c>
    </row>
    <row r="29">
      <c r="A29" s="15" t="inlineStr">
        <is>
          <t>ADM-MTR-FSD-2024-1024</t>
        </is>
      </c>
      <c r="B29" s="15" t="inlineStr">
        <is>
          <t>Faisalabad</t>
        </is>
      </c>
      <c r="C29" s="15" t="inlineStr">
        <is>
          <t>Motor</t>
        </is>
      </c>
      <c r="D29" s="41" t="n">
        <v>45315</v>
      </c>
      <c r="E29" s="14" t="n">
        <v>2304000</v>
      </c>
      <c r="F29" s="14" t="n">
        <v>2865806</v>
      </c>
      <c r="G29" s="15" t="inlineStr">
        <is>
          <t>Renewed</t>
        </is>
      </c>
    </row>
    <row r="31">
      <c r="A31" s="9" t="inlineStr">
        <is>
          <t>Table B — Buttons required on the report sheet</t>
        </is>
      </c>
    </row>
    <row r="32" ht="30" customHeight="1">
      <c r="A32" s="10" t="inlineStr">
        <is>
          <t>Button caption</t>
        </is>
      </c>
      <c r="B32" s="10" t="inlineStr">
        <is>
          <t>Macro it should run</t>
        </is>
      </c>
      <c r="C32" s="10" t="inlineStr">
        <is>
          <t>Control type</t>
        </is>
      </c>
    </row>
    <row r="33">
      <c r="A33" s="7" t="inlineStr">
        <is>
          <t>Format Report</t>
        </is>
      </c>
      <c r="B33" s="7" t="inlineStr">
        <is>
          <t>Format_Weekly_Report</t>
        </is>
      </c>
      <c r="C33" s="7" t="inlineStr">
        <is>
          <t>Form Control button</t>
        </is>
      </c>
    </row>
    <row r="34">
      <c r="A34" s="15" t="inlineStr">
        <is>
          <t>Sort by Premium</t>
        </is>
      </c>
      <c r="B34" s="15" t="inlineStr">
        <is>
          <t>Sort_By_Premium</t>
        </is>
      </c>
      <c r="C34" s="15" t="inlineStr">
        <is>
          <t>Form Control button</t>
        </is>
      </c>
    </row>
    <row r="35">
      <c r="A35" s="7" t="inlineStr">
        <is>
          <t>Clear Filters</t>
        </is>
      </c>
      <c r="B35" s="7" t="inlineStr">
        <is>
          <t>Clear_All_Filters</t>
        </is>
      </c>
      <c r="C35" s="7" t="inlineStr">
        <is>
          <t>Shape assigned a macro</t>
        </is>
      </c>
    </row>
    <row r="36">
      <c r="A36" s="15" t="inlineStr">
        <is>
          <t>Print Branch Pack</t>
        </is>
      </c>
      <c r="B36" s="15" t="inlineStr">
        <is>
          <t>Print_Branch_Pack</t>
        </is>
      </c>
      <c r="C36" s="15" t="inlineStr">
        <is>
          <t>Quick Access Toolbar icon</t>
        </is>
      </c>
    </row>
    <row r="37">
      <c r="A37" s="7" t="inlineStr">
        <is>
          <t>Refresh All Queries</t>
        </is>
      </c>
      <c r="B37" s="7" t="inlineStr">
        <is>
          <t>Refresh_Everything</t>
        </is>
      </c>
      <c r="C37" s="7" t="inlineStr">
        <is>
          <t>Shape assigned a macro</t>
        </is>
      </c>
    </row>
    <row r="39">
      <c r="A3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13.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Branch user front end for the reporting tool</t>
        </is>
      </c>
    </row>
    <row r="3">
      <c r="A3" s="21" t="inlineStr">
        <is>
          <t>Prepared for:</t>
        </is>
      </c>
      <c r="B3" s="22" t="inlineStr">
        <is>
          <t>Head of Operations</t>
        </is>
      </c>
    </row>
    <row r="4">
      <c r="A4" s="21" t="inlineStr">
        <is>
          <t>Prepared by:</t>
        </is>
      </c>
      <c r="B4" s="23" t="n"/>
    </row>
    <row r="5">
      <c r="A5" s="21" t="inlineStr">
        <is>
          <t>Reporting date:</t>
        </is>
      </c>
      <c r="B5" s="22" t="inlineStr">
        <is>
          <t>As at reporting date shown on the dataset</t>
        </is>
      </c>
    </row>
    <row r="7" ht="44" customHeight="1">
      <c r="A7" s="24" t="inlineStr">
        <is>
          <t>Ten branch users will run the weekly report. None of them will open the Developer tab, and the last tool sent out came back with the instruction 'press Alt+F8 and select the third item' which generated twenty-three support calls in one week.</t>
        </is>
      </c>
    </row>
    <row r="9">
      <c r="A9" s="25" t="inlineStr">
        <is>
          <t>Source data: '4.8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Branch user front end for the reporting tool</t>
        </is>
      </c>
      <c r="C13" s="38" t="inlineStr">
        <is>
          <t>The report sheet with labelled buttons for Format Report and Sort by Premium, each assigned to its macro, captioned in business language and sized to fit.</t>
        </is>
      </c>
      <c r="D13" s="37" t="inlineStr">
        <is>
          <t>Head of Operations</t>
        </is>
      </c>
      <c r="E13" s="31" t="n"/>
    </row>
    <row r="14" ht="65" customHeight="1">
      <c r="A14" s="35" t="n">
        <v>2</v>
      </c>
      <c r="B14" s="36" t="inlineStr">
        <is>
          <t>Presentable controls for the dashboard header</t>
        </is>
      </c>
      <c r="C14" s="38" t="inlineStr">
        <is>
          <t>Clear Filters and Refresh All Queries implemented as formatted shapes with macros assigned, arranged into a dashboard header, plus one macro added to the Quick Access Toolbar with its own icon.</t>
        </is>
      </c>
      <c r="D14" s="37" t="inlineStr">
        <is>
          <t>Head of Management Reporting</t>
        </is>
      </c>
      <c r="E14" s="31" t="n"/>
    </row>
    <row r="15" ht="52" customHeight="1">
      <c r="A15" s="35" t="n">
        <v>3</v>
      </c>
      <c r="B15" s="36" t="inlineStr">
        <is>
          <t>Protecting the controls from the users</t>
        </is>
      </c>
      <c r="C15" s="38" t="inlineStr">
        <is>
          <t>The buttons set not to move or size with cells, and the sheet protected so users can press them but cannot move or delete them. Record the two settings used.</t>
        </is>
      </c>
      <c r="D15" s="37" t="inlineStr">
        <is>
          <t>Head of Operations</t>
        </is>
      </c>
      <c r="E15" s="31" t="n"/>
    </row>
    <row r="16" ht="52" customHeight="1">
      <c r="A16" s="35" t="n">
        <v>4</v>
      </c>
      <c r="B16" s="36" t="inlineStr">
        <is>
          <t>Macros-disabled user instruction</t>
        </is>
      </c>
      <c r="C16" s="38" t="inlineStr">
        <is>
          <t>The instruction sheet you would add to the workbook: what happens when the file opens with macros disabled, what the user sees, and exactly what to click to enable it.</t>
        </is>
      </c>
      <c r="D16" s="37" t="inlineStr">
        <is>
          <t>Head of Operations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14.xml><?xml version="1.0" encoding="utf-8"?>
<worksheet xmlns="http://schemas.openxmlformats.org/spreadsheetml/2006/main">
  <sheetPr>
    <tabColor rgb="001F3864"/>
    <outlinePr summaryBelow="1" summaryRight="1"/>
    <pageSetUpPr/>
  </sheetPr>
  <dimension ref="A1:G62"/>
  <sheetViews>
    <sheetView showGridLines="0" workbookViewId="0">
      <pane ySplit="5" topLeftCell="A6" activePane="bottomLeft" state="frozen"/>
      <selection pane="bottomLeft" activeCell="A1" sqref="A1"/>
    </sheetView>
  </sheetViews>
  <sheetFormatPr baseColWidth="8" defaultRowHeight="15"/>
  <cols>
    <col width="16" customWidth="1" min="1" max="1"/>
    <col width="52" customWidth="1" min="2" max="2"/>
    <col width="38" customWidth="1" min="3" max="3"/>
    <col width="14" customWidth="1" min="4" max="4"/>
    <col width="20" customWidth="1" min="5" max="5"/>
    <col width="20" customWidth="1" min="6" max="6"/>
    <col width="14" customWidth="1" min="7" max="7"/>
  </cols>
  <sheetData>
    <row r="1" ht="26" customHeight="1">
      <c r="A1" s="1" t="inlineStr">
        <is>
          <t>Dataset 4.9  —  Viewing and Editing Basic VBA Code in the Visual Basic Editor</t>
        </is>
      </c>
    </row>
    <row r="2" ht="16" customHeight="1">
      <c r="A2" s="2" t="inlineStr">
        <is>
          <t>Session 4: Advanced Charts, Macros &amp; Workbook Management | Part B: Introduction to Macros   |   Adamjee Assurance Company Limited (Pakistan) — training data, figures in PKR</t>
        </is>
      </c>
    </row>
    <row r="4">
      <c r="A4" s="9" t="inlineStr">
        <is>
          <t>Table A — Extract with a DIFFERENT row count, to break the recorded macro</t>
        </is>
      </c>
    </row>
    <row r="5" ht="30" customHeight="1">
      <c r="A5" s="10" t="inlineStr">
        <is>
          <t>Policy No</t>
        </is>
      </c>
      <c r="B5" s="10" t="inlineStr">
        <is>
          <t>Branch</t>
        </is>
      </c>
      <c r="C5" s="10" t="inlineStr">
        <is>
          <t>Product</t>
        </is>
      </c>
      <c r="D5" s="10" t="inlineStr">
        <is>
          <t>Booking Date</t>
        </is>
      </c>
      <c r="E5" s="10" t="inlineStr">
        <is>
          <t>Gross Premium (PKR)</t>
        </is>
      </c>
      <c r="F5" s="10" t="inlineStr">
        <is>
          <t>Claims Paid (PKR)</t>
        </is>
      </c>
      <c r="G5" s="10" t="inlineStr">
        <is>
          <t>Status</t>
        </is>
      </c>
    </row>
    <row r="6">
      <c r="A6" s="7" t="inlineStr">
        <is>
          <t>ADM-FIR-KHI-2024-1001</t>
        </is>
      </c>
      <c r="B6" s="7" t="inlineStr">
        <is>
          <t>Karachi Main</t>
        </is>
      </c>
      <c r="C6" s="7" t="inlineStr">
        <is>
          <t>Fire &amp; Property</t>
        </is>
      </c>
      <c r="D6" s="40" t="n">
        <v>45532</v>
      </c>
      <c r="E6" s="11" t="n">
        <v>96000</v>
      </c>
      <c r="F6" s="11" t="n">
        <v>118842</v>
      </c>
      <c r="G6" s="7" t="inlineStr">
        <is>
          <t>Active</t>
        </is>
      </c>
    </row>
    <row r="7">
      <c r="A7" s="15" t="inlineStr">
        <is>
          <t>ADM-TRV-LHR-2024-1002</t>
        </is>
      </c>
      <c r="B7" s="15" t="inlineStr">
        <is>
          <t>Lahore Gulberg</t>
        </is>
      </c>
      <c r="C7" s="15" t="inlineStr">
        <is>
          <t>Travel</t>
        </is>
      </c>
      <c r="D7" s="41" t="n">
        <v>45501</v>
      </c>
      <c r="E7" s="14" t="n">
        <v>201000</v>
      </c>
      <c r="F7" s="14" t="n">
        <v>81036</v>
      </c>
      <c r="G7" s="15" t="inlineStr">
        <is>
          <t>Active</t>
        </is>
      </c>
    </row>
    <row r="8">
      <c r="A8" s="7" t="inlineStr">
        <is>
          <t>ADM-MTR-ISB-2024-1003</t>
        </is>
      </c>
      <c r="B8" s="7" t="inlineStr">
        <is>
          <t>Islamabad Blue Area</t>
        </is>
      </c>
      <c r="C8" s="7" t="inlineStr">
        <is>
          <t>Motor</t>
        </is>
      </c>
      <c r="D8" s="40" t="n">
        <v>45504</v>
      </c>
      <c r="E8" s="11" t="n">
        <v>1397000</v>
      </c>
      <c r="F8" s="11" t="n">
        <v>1956542</v>
      </c>
      <c r="G8" s="7" t="inlineStr">
        <is>
          <t>Active</t>
        </is>
      </c>
    </row>
    <row r="9">
      <c r="A9" s="15" t="inlineStr">
        <is>
          <t>ADM-HLT-FSD-2024-1004</t>
        </is>
      </c>
      <c r="B9" s="15" t="inlineStr">
        <is>
          <t>Faisalabad</t>
        </is>
      </c>
      <c r="C9" s="15" t="inlineStr">
        <is>
          <t>Health</t>
        </is>
      </c>
      <c r="D9" s="41" t="n">
        <v>45570</v>
      </c>
      <c r="E9" s="14" t="n">
        <v>305000</v>
      </c>
      <c r="F9" s="14" t="n">
        <v>68074</v>
      </c>
      <c r="G9" s="15" t="inlineStr">
        <is>
          <t>Cancelled</t>
        </is>
      </c>
    </row>
    <row r="10">
      <c r="A10" s="7" t="inlineStr">
        <is>
          <t>ADM-MSC-MUL-2024-1005</t>
        </is>
      </c>
      <c r="B10" s="7" t="inlineStr">
        <is>
          <t>Multan</t>
        </is>
      </c>
      <c r="C10" s="7" t="inlineStr">
        <is>
          <t>Miscellaneous</t>
        </is>
      </c>
      <c r="D10" s="40" t="n">
        <v>45531</v>
      </c>
      <c r="E10" s="11" t="n">
        <v>75000</v>
      </c>
      <c r="F10" s="11" t="n">
        <v>101846</v>
      </c>
      <c r="G10" s="7" t="inlineStr">
        <is>
          <t>Active</t>
        </is>
      </c>
    </row>
    <row r="11">
      <c r="A11" s="15" t="inlineStr">
        <is>
          <t>ADM-MAR-PEW-2024-1006</t>
        </is>
      </c>
      <c r="B11" s="15" t="inlineStr">
        <is>
          <t>Peshawar</t>
        </is>
      </c>
      <c r="C11" s="15" t="inlineStr">
        <is>
          <t>Marine Cargo</t>
        </is>
      </c>
      <c r="D11" s="41" t="n">
        <v>45470</v>
      </c>
      <c r="E11" s="14" t="n">
        <v>380000</v>
      </c>
      <c r="F11" s="14" t="n">
        <v>319000</v>
      </c>
      <c r="G11" s="15" t="inlineStr">
        <is>
          <t>Active</t>
        </is>
      </c>
    </row>
    <row r="12">
      <c r="A12" s="7" t="inlineStr">
        <is>
          <t>ADM-ENG-QTA-2024-1007</t>
        </is>
      </c>
      <c r="B12" s="7" t="inlineStr">
        <is>
          <t>Quetta</t>
        </is>
      </c>
      <c r="C12" s="7" t="inlineStr">
        <is>
          <t>Engineering</t>
        </is>
      </c>
      <c r="D12" s="40" t="n">
        <v>45491</v>
      </c>
      <c r="E12" s="11" t="n">
        <v>227000</v>
      </c>
      <c r="F12" s="11" t="n">
        <v>102406</v>
      </c>
      <c r="G12" s="7" t="inlineStr">
        <is>
          <t>Active</t>
        </is>
      </c>
    </row>
    <row r="13">
      <c r="A13" s="15" t="inlineStr">
        <is>
          <t>ADM-FIR-HYD-2024-1008</t>
        </is>
      </c>
      <c r="B13" s="15" t="inlineStr">
        <is>
          <t>Hyderabad</t>
        </is>
      </c>
      <c r="C13" s="15" t="inlineStr">
        <is>
          <t>Fire &amp; Property</t>
        </is>
      </c>
      <c r="D13" s="41" t="n">
        <v>45510</v>
      </c>
      <c r="E13" s="14" t="n">
        <v>290000</v>
      </c>
      <c r="F13" s="14" t="n">
        <v>368976</v>
      </c>
      <c r="G13" s="15" t="inlineStr">
        <is>
          <t>Renewed</t>
        </is>
      </c>
    </row>
    <row r="14">
      <c r="A14" s="7" t="inlineStr">
        <is>
          <t>ADM-TRV-SKT-2024-1009</t>
        </is>
      </c>
      <c r="B14" s="7" t="inlineStr">
        <is>
          <t>Sialkot</t>
        </is>
      </c>
      <c r="C14" s="7" t="inlineStr">
        <is>
          <t>Travel</t>
        </is>
      </c>
      <c r="D14" s="40" t="n">
        <v>45409</v>
      </c>
      <c r="E14" s="11" t="n">
        <v>37000</v>
      </c>
      <c r="F14" s="11" t="n">
        <v>33045</v>
      </c>
      <c r="G14" s="7" t="inlineStr">
        <is>
          <t>Active</t>
        </is>
      </c>
    </row>
    <row r="15">
      <c r="A15" s="15" t="inlineStr">
        <is>
          <t>ADM-MTR-RWP-2024-1010</t>
        </is>
      </c>
      <c r="B15" s="15" t="inlineStr">
        <is>
          <t>Rawalpindi</t>
        </is>
      </c>
      <c r="C15" s="15" t="inlineStr">
        <is>
          <t>Motor</t>
        </is>
      </c>
      <c r="D15" s="41" t="n">
        <v>45424</v>
      </c>
      <c r="E15" s="14" t="n">
        <v>760000</v>
      </c>
      <c r="F15" s="14" t="n">
        <v>437023</v>
      </c>
      <c r="G15" s="15" t="inlineStr">
        <is>
          <t>Cancelled</t>
        </is>
      </c>
    </row>
    <row r="16">
      <c r="A16" s="7" t="inlineStr">
        <is>
          <t>ADM-HLT-KHI-2024-1011</t>
        </is>
      </c>
      <c r="B16" s="7" t="inlineStr">
        <is>
          <t>Karachi Main</t>
        </is>
      </c>
      <c r="C16" s="7" t="inlineStr">
        <is>
          <t>Health</t>
        </is>
      </c>
      <c r="D16" s="40" t="n">
        <v>45507</v>
      </c>
      <c r="E16" s="11" t="n">
        <v>603000</v>
      </c>
      <c r="F16" s="11" t="n">
        <v>23346</v>
      </c>
      <c r="G16" s="7" t="inlineStr">
        <is>
          <t>Active</t>
        </is>
      </c>
    </row>
    <row r="17">
      <c r="A17" s="15" t="inlineStr">
        <is>
          <t>ADM-MSC-LHR-2024-1012</t>
        </is>
      </c>
      <c r="B17" s="15" t="inlineStr">
        <is>
          <t>Lahore Gulberg</t>
        </is>
      </c>
      <c r="C17" s="15" t="inlineStr">
        <is>
          <t>Miscellaneous</t>
        </is>
      </c>
      <c r="D17" s="41" t="n">
        <v>45412</v>
      </c>
      <c r="E17" s="14" t="n">
        <v>512000</v>
      </c>
      <c r="F17" s="14" t="n">
        <v>483728</v>
      </c>
      <c r="G17" s="15" t="inlineStr">
        <is>
          <t>Active</t>
        </is>
      </c>
    </row>
    <row r="18">
      <c r="A18" s="7" t="inlineStr">
        <is>
          <t>ADM-MAR-ISB-2024-1013</t>
        </is>
      </c>
      <c r="B18" s="7" t="inlineStr">
        <is>
          <t>Islamabad Blue Area</t>
        </is>
      </c>
      <c r="C18" s="7" t="inlineStr">
        <is>
          <t>Marine Cargo</t>
        </is>
      </c>
      <c r="D18" s="40" t="n">
        <v>45544</v>
      </c>
      <c r="E18" s="11" t="n">
        <v>2169000</v>
      </c>
      <c r="F18" s="11" t="n">
        <v>2910899</v>
      </c>
      <c r="G18" s="7" t="inlineStr">
        <is>
          <t>Active</t>
        </is>
      </c>
    </row>
    <row r="19">
      <c r="A19" s="15" t="inlineStr">
        <is>
          <t>ADM-ENG-FSD-2024-1014</t>
        </is>
      </c>
      <c r="B19" s="15" t="inlineStr">
        <is>
          <t>Faisalabad</t>
        </is>
      </c>
      <c r="C19" s="15" t="inlineStr">
        <is>
          <t>Engineering</t>
        </is>
      </c>
      <c r="D19" s="41" t="n">
        <v>45490</v>
      </c>
      <c r="E19" s="14" t="n">
        <v>1089000</v>
      </c>
      <c r="F19" s="14" t="n">
        <v>1005022</v>
      </c>
      <c r="G19" s="15" t="inlineStr">
        <is>
          <t>Active</t>
        </is>
      </c>
    </row>
    <row r="20">
      <c r="A20" s="7" t="inlineStr">
        <is>
          <t>ADM-FIR-MUL-2024-1015</t>
        </is>
      </c>
      <c r="B20" s="7" t="inlineStr">
        <is>
          <t>Multan</t>
        </is>
      </c>
      <c r="C20" s="7" t="inlineStr">
        <is>
          <t>Fire &amp; Property</t>
        </is>
      </c>
      <c r="D20" s="40" t="n">
        <v>45359</v>
      </c>
      <c r="E20" s="11" t="n">
        <v>484000</v>
      </c>
      <c r="F20" s="11" t="n">
        <v>496853</v>
      </c>
      <c r="G20" s="7" t="inlineStr">
        <is>
          <t>Cancelled</t>
        </is>
      </c>
    </row>
    <row r="21">
      <c r="A21" s="15" t="inlineStr">
        <is>
          <t>ADM-TRV-PEW-2024-1016</t>
        </is>
      </c>
      <c r="B21" s="15" t="inlineStr">
        <is>
          <t>Peshawar</t>
        </is>
      </c>
      <c r="C21" s="15" t="inlineStr">
        <is>
          <t>Travel</t>
        </is>
      </c>
      <c r="D21" s="41" t="n">
        <v>45325</v>
      </c>
      <c r="E21" s="14" t="n">
        <v>74000</v>
      </c>
      <c r="F21" s="14" t="n">
        <v>102095</v>
      </c>
      <c r="G21" s="15" t="inlineStr">
        <is>
          <t>Active</t>
        </is>
      </c>
    </row>
    <row r="22">
      <c r="A22" s="7" t="inlineStr">
        <is>
          <t>ADM-MTR-QTA-2024-1017</t>
        </is>
      </c>
      <c r="B22" s="7" t="inlineStr">
        <is>
          <t>Quetta</t>
        </is>
      </c>
      <c r="C22" s="7" t="inlineStr">
        <is>
          <t>Motor</t>
        </is>
      </c>
      <c r="D22" s="40" t="n">
        <v>45369</v>
      </c>
      <c r="E22" s="11" t="n">
        <v>835000</v>
      </c>
      <c r="F22" s="11" t="n">
        <v>63505</v>
      </c>
      <c r="G22" s="7" t="inlineStr">
        <is>
          <t>Active</t>
        </is>
      </c>
    </row>
    <row r="23">
      <c r="A23" s="15" t="inlineStr">
        <is>
          <t>ADM-HLT-HYD-2024-1018</t>
        </is>
      </c>
      <c r="B23" s="15" t="inlineStr">
        <is>
          <t>Hyderabad</t>
        </is>
      </c>
      <c r="C23" s="15" t="inlineStr">
        <is>
          <t>Health</t>
        </is>
      </c>
      <c r="D23" s="41" t="n">
        <v>45333</v>
      </c>
      <c r="E23" s="14" t="n">
        <v>174000</v>
      </c>
      <c r="F23" s="14" t="n">
        <v>212284</v>
      </c>
      <c r="G23" s="15" t="inlineStr">
        <is>
          <t>Cancelled</t>
        </is>
      </c>
    </row>
    <row r="24">
      <c r="A24" s="7" t="inlineStr">
        <is>
          <t>ADM-MSC-SKT-2024-1019</t>
        </is>
      </c>
      <c r="B24" s="7" t="inlineStr">
        <is>
          <t>Sialkot</t>
        </is>
      </c>
      <c r="C24" s="7" t="inlineStr">
        <is>
          <t>Miscellaneous</t>
        </is>
      </c>
      <c r="D24" s="40" t="n">
        <v>45528</v>
      </c>
      <c r="E24" s="11" t="n">
        <v>927000</v>
      </c>
      <c r="F24" s="11" t="n">
        <v>319790</v>
      </c>
      <c r="G24" s="7" t="inlineStr">
        <is>
          <t>Renewed</t>
        </is>
      </c>
    </row>
    <row r="25">
      <c r="A25" s="15" t="inlineStr">
        <is>
          <t>ADM-MAR-RWP-2024-1020</t>
        </is>
      </c>
      <c r="B25" s="15" t="inlineStr">
        <is>
          <t>Rawalpindi</t>
        </is>
      </c>
      <c r="C25" s="15" t="inlineStr">
        <is>
          <t>Marine Cargo</t>
        </is>
      </c>
      <c r="D25" s="41" t="n">
        <v>45504</v>
      </c>
      <c r="E25" s="14" t="n">
        <v>181000</v>
      </c>
      <c r="F25" s="14" t="n">
        <v>43224</v>
      </c>
      <c r="G25" s="15" t="inlineStr">
        <is>
          <t>Active</t>
        </is>
      </c>
    </row>
    <row r="26">
      <c r="A26" s="7" t="inlineStr">
        <is>
          <t>ADM-ENG-KHI-2024-1021</t>
        </is>
      </c>
      <c r="B26" s="7" t="inlineStr">
        <is>
          <t>Karachi Main</t>
        </is>
      </c>
      <c r="C26" s="7" t="inlineStr">
        <is>
          <t>Engineering</t>
        </is>
      </c>
      <c r="D26" s="40" t="n">
        <v>45434</v>
      </c>
      <c r="E26" s="11" t="n">
        <v>78000</v>
      </c>
      <c r="F26" s="11" t="n">
        <v>74392</v>
      </c>
      <c r="G26" s="7" t="inlineStr">
        <is>
          <t>Lapsed</t>
        </is>
      </c>
    </row>
    <row r="27">
      <c r="A27" s="15" t="inlineStr">
        <is>
          <t>ADM-FIR-LHR-2024-1022</t>
        </is>
      </c>
      <c r="B27" s="15" t="inlineStr">
        <is>
          <t>Lahore Gulberg</t>
        </is>
      </c>
      <c r="C27" s="15" t="inlineStr">
        <is>
          <t>Fire &amp; Property</t>
        </is>
      </c>
      <c r="D27" s="41" t="n">
        <v>45343</v>
      </c>
      <c r="E27" s="14" t="n">
        <v>368000</v>
      </c>
      <c r="F27" s="14" t="n">
        <v>53177</v>
      </c>
      <c r="G27" s="15" t="inlineStr">
        <is>
          <t>Renewed</t>
        </is>
      </c>
    </row>
    <row r="28">
      <c r="A28" s="7" t="inlineStr">
        <is>
          <t>ADM-TRV-ISB-2024-1023</t>
        </is>
      </c>
      <c r="B28" s="7" t="inlineStr">
        <is>
          <t>Islamabad Blue Area</t>
        </is>
      </c>
      <c r="C28" s="7" t="inlineStr">
        <is>
          <t>Travel</t>
        </is>
      </c>
      <c r="D28" s="40" t="n">
        <v>45382</v>
      </c>
      <c r="E28" s="11" t="n">
        <v>1586000</v>
      </c>
      <c r="F28" s="11" t="n">
        <v>1126781</v>
      </c>
      <c r="G28" s="7" t="inlineStr">
        <is>
          <t>Active</t>
        </is>
      </c>
    </row>
    <row r="29">
      <c r="A29" s="15" t="inlineStr">
        <is>
          <t>ADM-MTR-FSD-2024-1024</t>
        </is>
      </c>
      <c r="B29" s="15" t="inlineStr">
        <is>
          <t>Faisalabad</t>
        </is>
      </c>
      <c r="C29" s="15" t="inlineStr">
        <is>
          <t>Motor</t>
        </is>
      </c>
      <c r="D29" s="41" t="n">
        <v>45315</v>
      </c>
      <c r="E29" s="14" t="n">
        <v>2304000</v>
      </c>
      <c r="F29" s="14" t="n">
        <v>958412</v>
      </c>
      <c r="G29" s="15" t="inlineStr">
        <is>
          <t>Renewed</t>
        </is>
      </c>
    </row>
    <row r="30">
      <c r="A30" s="7" t="inlineStr">
        <is>
          <t>ADM-HLT-MUL-2024-1025</t>
        </is>
      </c>
      <c r="B30" s="7" t="inlineStr">
        <is>
          <t>Multan</t>
        </is>
      </c>
      <c r="C30" s="7" t="inlineStr">
        <is>
          <t>Health</t>
        </is>
      </c>
      <c r="D30" s="40" t="n">
        <v>45616</v>
      </c>
      <c r="E30" s="11" t="n">
        <v>19000</v>
      </c>
      <c r="F30" s="11" t="n">
        <v>28499</v>
      </c>
      <c r="G30" s="7" t="inlineStr">
        <is>
          <t>Lapsed</t>
        </is>
      </c>
    </row>
    <row r="31">
      <c r="A31" s="15" t="inlineStr">
        <is>
          <t>ADM-MSC-PEW-2024-1026</t>
        </is>
      </c>
      <c r="B31" s="15" t="inlineStr">
        <is>
          <t>Peshawar</t>
        </is>
      </c>
      <c r="C31" s="15" t="inlineStr">
        <is>
          <t>Miscellaneous</t>
        </is>
      </c>
      <c r="D31" s="41" t="n">
        <v>45356</v>
      </c>
      <c r="E31" s="14" t="n">
        <v>193000</v>
      </c>
      <c r="F31" s="14" t="n">
        <v>61614</v>
      </c>
      <c r="G31" s="15" t="inlineStr">
        <is>
          <t>Active</t>
        </is>
      </c>
    </row>
    <row r="32">
      <c r="A32" s="7" t="inlineStr">
        <is>
          <t>ADM-MAR-QTA-2024-1027</t>
        </is>
      </c>
      <c r="B32" s="7" t="inlineStr">
        <is>
          <t>Quetta</t>
        </is>
      </c>
      <c r="C32" s="7" t="inlineStr">
        <is>
          <t>Marine Cargo</t>
        </is>
      </c>
      <c r="D32" s="40" t="n">
        <v>45550</v>
      </c>
      <c r="E32" s="11" t="n">
        <v>43000</v>
      </c>
      <c r="F32" s="11" t="n">
        <v>15170</v>
      </c>
      <c r="G32" s="7" t="inlineStr">
        <is>
          <t>Cancelled</t>
        </is>
      </c>
    </row>
    <row r="33">
      <c r="A33" s="15" t="inlineStr">
        <is>
          <t>ADM-ENG-HYD-2024-1028</t>
        </is>
      </c>
      <c r="B33" s="15" t="inlineStr">
        <is>
          <t>Hyderabad</t>
        </is>
      </c>
      <c r="C33" s="15" t="inlineStr">
        <is>
          <t>Engineering</t>
        </is>
      </c>
      <c r="D33" s="41" t="n">
        <v>45376</v>
      </c>
      <c r="E33" s="14" t="n">
        <v>27000</v>
      </c>
      <c r="F33" s="14" t="n">
        <v>38502</v>
      </c>
      <c r="G33" s="15" t="inlineStr">
        <is>
          <t>Active</t>
        </is>
      </c>
    </row>
    <row r="34">
      <c r="A34" s="7" t="inlineStr">
        <is>
          <t>ADM-FIR-SKT-2024-1029</t>
        </is>
      </c>
      <c r="B34" s="7" t="inlineStr">
        <is>
          <t>Sialkot</t>
        </is>
      </c>
      <c r="C34" s="7" t="inlineStr">
        <is>
          <t>Fire &amp; Property</t>
        </is>
      </c>
      <c r="D34" s="40" t="n">
        <v>45596</v>
      </c>
      <c r="E34" s="11" t="n">
        <v>1527000</v>
      </c>
      <c r="F34" s="11" t="n">
        <v>1388303</v>
      </c>
      <c r="G34" s="7" t="inlineStr">
        <is>
          <t>Cancelled</t>
        </is>
      </c>
    </row>
    <row r="35">
      <c r="A35" s="15" t="inlineStr">
        <is>
          <t>ADM-TRV-RWP-2024-1030</t>
        </is>
      </c>
      <c r="B35" s="15" t="inlineStr">
        <is>
          <t>Rawalpindi</t>
        </is>
      </c>
      <c r="C35" s="15" t="inlineStr">
        <is>
          <t>Travel</t>
        </is>
      </c>
      <c r="D35" s="41" t="n">
        <v>45307</v>
      </c>
      <c r="E35" s="14" t="n">
        <v>594000</v>
      </c>
      <c r="F35" s="14" t="n">
        <v>178889</v>
      </c>
      <c r="G35" s="15" t="inlineStr">
        <is>
          <t>Lapsed</t>
        </is>
      </c>
    </row>
    <row r="36">
      <c r="A36" s="7" t="inlineStr">
        <is>
          <t>ADM-MTR-KHI-2024-1031</t>
        </is>
      </c>
      <c r="B36" s="7" t="inlineStr">
        <is>
          <t>Karachi Main</t>
        </is>
      </c>
      <c r="C36" s="7" t="inlineStr">
        <is>
          <t>Motor</t>
        </is>
      </c>
      <c r="D36" s="40" t="n">
        <v>45453</v>
      </c>
      <c r="E36" s="11" t="n">
        <v>10000</v>
      </c>
      <c r="F36" s="11" t="n">
        <v>9846</v>
      </c>
      <c r="G36" s="7" t="inlineStr">
        <is>
          <t>Active</t>
        </is>
      </c>
    </row>
    <row r="37">
      <c r="A37" s="15" t="inlineStr">
        <is>
          <t>ADM-HLT-LHR-2024-1032</t>
        </is>
      </c>
      <c r="B37" s="15" t="inlineStr">
        <is>
          <t>Lahore Gulberg</t>
        </is>
      </c>
      <c r="C37" s="15" t="inlineStr">
        <is>
          <t>Health</t>
        </is>
      </c>
      <c r="D37" s="41" t="n">
        <v>45323</v>
      </c>
      <c r="E37" s="14" t="n">
        <v>53000</v>
      </c>
      <c r="F37" s="14" t="n">
        <v>71439</v>
      </c>
      <c r="G37" s="15" t="inlineStr">
        <is>
          <t>Cancelled</t>
        </is>
      </c>
    </row>
    <row r="38">
      <c r="A38" s="7" t="inlineStr">
        <is>
          <t>ADM-MSC-ISB-2024-1033</t>
        </is>
      </c>
      <c r="B38" s="7" t="inlineStr">
        <is>
          <t>Islamabad Blue Area</t>
        </is>
      </c>
      <c r="C38" s="7" t="inlineStr">
        <is>
          <t>Miscellaneous</t>
        </is>
      </c>
      <c r="D38" s="40" t="n">
        <v>45609</v>
      </c>
      <c r="E38" s="11" t="n">
        <v>134000</v>
      </c>
      <c r="F38" s="11" t="n">
        <v>162788</v>
      </c>
      <c r="G38" s="7" t="inlineStr">
        <is>
          <t>Renewed</t>
        </is>
      </c>
    </row>
    <row r="39">
      <c r="A39" s="15" t="inlineStr">
        <is>
          <t>ADM-MAR-FSD-2024-1034</t>
        </is>
      </c>
      <c r="B39" s="15" t="inlineStr">
        <is>
          <t>Faisalabad</t>
        </is>
      </c>
      <c r="C39" s="15" t="inlineStr">
        <is>
          <t>Marine Cargo</t>
        </is>
      </c>
      <c r="D39" s="41" t="n">
        <v>45387</v>
      </c>
      <c r="E39" s="14" t="n">
        <v>460000</v>
      </c>
      <c r="F39" s="14" t="n">
        <v>182744</v>
      </c>
      <c r="G39" s="15" t="inlineStr">
        <is>
          <t>Cancelled</t>
        </is>
      </c>
    </row>
    <row r="40">
      <c r="A40" s="7" t="inlineStr">
        <is>
          <t>ADM-ENG-MUL-2024-1035</t>
        </is>
      </c>
      <c r="B40" s="7" t="inlineStr">
        <is>
          <t>Multan</t>
        </is>
      </c>
      <c r="C40" s="7" t="inlineStr">
        <is>
          <t>Engineering</t>
        </is>
      </c>
      <c r="D40" s="40" t="n">
        <v>45516</v>
      </c>
      <c r="E40" s="11" t="n">
        <v>102000</v>
      </c>
      <c r="F40" s="11" t="n">
        <v>87799</v>
      </c>
      <c r="G40" s="7" t="inlineStr">
        <is>
          <t>Renewed</t>
        </is>
      </c>
    </row>
    <row r="41">
      <c r="A41" s="15" t="inlineStr">
        <is>
          <t>ADM-FIR-PEW-2024-1036</t>
        </is>
      </c>
      <c r="B41" s="15" t="inlineStr">
        <is>
          <t>Peshawar</t>
        </is>
      </c>
      <c r="C41" s="15" t="inlineStr">
        <is>
          <t>Fire &amp; Property</t>
        </is>
      </c>
      <c r="D41" s="41" t="n">
        <v>45596</v>
      </c>
      <c r="E41" s="14" t="n">
        <v>113000</v>
      </c>
      <c r="F41" s="14" t="n">
        <v>10052</v>
      </c>
      <c r="G41" s="15" t="inlineStr">
        <is>
          <t>Active</t>
        </is>
      </c>
    </row>
    <row r="42">
      <c r="A42" s="7" t="inlineStr">
        <is>
          <t>ADM-TRV-QTA-2024-1037</t>
        </is>
      </c>
      <c r="B42" s="7" t="inlineStr">
        <is>
          <t>Quetta</t>
        </is>
      </c>
      <c r="C42" s="7" t="inlineStr">
        <is>
          <t>Travel</t>
        </is>
      </c>
      <c r="D42" s="40" t="n">
        <v>45495</v>
      </c>
      <c r="E42" s="11" t="n">
        <v>165000</v>
      </c>
      <c r="F42" s="11" t="n">
        <v>22931</v>
      </c>
      <c r="G42" s="7" t="inlineStr">
        <is>
          <t>Renewed</t>
        </is>
      </c>
    </row>
    <row r="43">
      <c r="A43" s="15" t="inlineStr">
        <is>
          <t>ADM-MTR-HYD-2024-1038</t>
        </is>
      </c>
      <c r="B43" s="15" t="inlineStr">
        <is>
          <t>Hyderabad</t>
        </is>
      </c>
      <c r="C43" s="15" t="inlineStr">
        <is>
          <t>Motor</t>
        </is>
      </c>
      <c r="D43" s="41" t="n">
        <v>45299</v>
      </c>
      <c r="E43" s="14" t="n">
        <v>33000</v>
      </c>
      <c r="F43" s="14" t="n">
        <v>27863</v>
      </c>
      <c r="G43" s="15" t="inlineStr">
        <is>
          <t>Active</t>
        </is>
      </c>
    </row>
    <row r="45">
      <c r="A45" s="9" t="inlineStr">
        <is>
          <t>Table B — Recorded code you will find, and the improvement required</t>
        </is>
      </c>
    </row>
    <row r="46" ht="30" customHeight="1">
      <c r="A46" s="10" t="inlineStr">
        <is>
          <t>Recorded line (typical)</t>
        </is>
      </c>
      <c r="B46" s="10" t="inlineStr">
        <is>
          <t>Problem</t>
        </is>
      </c>
      <c r="C46" s="10" t="inlineStr">
        <is>
          <t>Improvement</t>
        </is>
      </c>
    </row>
    <row r="47">
      <c r="A47" s="7" t="inlineStr">
        <is>
          <t>Range("A1:G25").Select</t>
        </is>
      </c>
      <c r="B47" s="7" t="inlineStr">
        <is>
          <t>Hard-coded row count</t>
        </is>
      </c>
      <c r="C47" s="7" t="inlineStr">
        <is>
          <t>Use CurrentRegion or End(xlUp)</t>
        </is>
      </c>
    </row>
    <row r="48">
      <c r="A48" s="15" t="inlineStr">
        <is>
          <t>Selection.Sort ...</t>
        </is>
      </c>
      <c r="B48" s="15" t="inlineStr">
        <is>
          <t>Relies on a selection</t>
        </is>
      </c>
      <c r="C48" s="15" t="inlineStr">
        <is>
          <t>Act on the range object directly</t>
        </is>
      </c>
    </row>
    <row r="49">
      <c r="A49" s="7" t="inlineStr">
        <is>
          <t>Sheets("Sheet1").Select</t>
        </is>
      </c>
      <c r="B49" s="7" t="inlineStr">
        <is>
          <t>Breaks if the sheet is renamed</t>
        </is>
      </c>
      <c r="C49" s="7" t="inlineStr">
        <is>
          <t>Use the sheet code name</t>
        </is>
      </c>
    </row>
    <row r="50">
      <c r="A50" s="15" t="inlineStr">
        <is>
          <t>(no screen control)</t>
        </is>
      </c>
      <c r="B50" s="15" t="inlineStr">
        <is>
          <t>Screen flicker, slow</t>
        </is>
      </c>
      <c r="C50" s="15" t="inlineStr">
        <is>
          <t>Application.ScreenUpdating = False</t>
        </is>
      </c>
    </row>
    <row r="51">
      <c r="A51" s="7" t="inlineStr">
        <is>
          <t>(no error handling)</t>
        </is>
      </c>
      <c r="B51" s="7" t="inlineStr">
        <is>
          <t>Macro stops with a debug box</t>
        </is>
      </c>
      <c r="C51" s="7" t="inlineStr">
        <is>
          <t>On Error Resume Next / GoTo</t>
        </is>
      </c>
    </row>
    <row r="53">
      <c r="A53" s="9" t="inlineStr">
        <is>
          <t>Table C — VBA vocabulary for today</t>
        </is>
      </c>
    </row>
    <row r="54" ht="30" customHeight="1">
      <c r="A54" s="10" t="inlineStr">
        <is>
          <t>Term</t>
        </is>
      </c>
      <c r="B54" s="10" t="inlineStr">
        <is>
          <t>Meaning</t>
        </is>
      </c>
    </row>
    <row r="55">
      <c r="A55" s="7" t="inlineStr">
        <is>
          <t>Sub</t>
        </is>
      </c>
      <c r="B55" s="7" t="inlineStr">
        <is>
          <t>A procedure that runs when called</t>
        </is>
      </c>
    </row>
    <row r="56">
      <c r="A56" s="15" t="inlineStr">
        <is>
          <t>Module</t>
        </is>
      </c>
      <c r="B56" s="15" t="inlineStr">
        <is>
          <t>Where recorded code is stored</t>
        </is>
      </c>
    </row>
    <row r="57">
      <c r="A57" s="7" t="inlineStr">
        <is>
          <t>Object</t>
        </is>
      </c>
      <c r="B57" s="7" t="inlineStr">
        <is>
          <t>A thing: Workbook, Worksheet, Range</t>
        </is>
      </c>
    </row>
    <row r="58">
      <c r="A58" s="15" t="inlineStr">
        <is>
          <t>Property</t>
        </is>
      </c>
      <c r="B58" s="15" t="inlineStr">
        <is>
          <t>A characteristic: .Value, .Font.Bold</t>
        </is>
      </c>
    </row>
    <row r="59">
      <c r="A59" s="7" t="inlineStr">
        <is>
          <t>Method</t>
        </is>
      </c>
      <c r="B59" s="7" t="inlineStr">
        <is>
          <t>An action: .Select, .Copy, .Sort</t>
        </is>
      </c>
    </row>
    <row r="60">
      <c r="A60" s="15" t="inlineStr">
        <is>
          <t>Comment</t>
        </is>
      </c>
      <c r="B60" s="15" t="inlineStr">
        <is>
          <t>A line beginning with an apostrophe</t>
        </is>
      </c>
    </row>
    <row r="62">
      <c r="A62"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1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Hardening the recorded macro for production</t>
        </is>
      </c>
    </row>
    <row r="3">
      <c r="A3" s="21" t="inlineStr">
        <is>
          <t>Prepared for:</t>
        </is>
      </c>
      <c r="B3" s="22" t="inlineStr">
        <is>
          <t>Head of MIS</t>
        </is>
      </c>
    </row>
    <row r="4">
      <c r="A4" s="21" t="inlineStr">
        <is>
          <t>Prepared by:</t>
        </is>
      </c>
      <c r="B4" s="23" t="n"/>
    </row>
    <row r="5">
      <c r="A5" s="21" t="inlineStr">
        <is>
          <t>Reporting date:</t>
        </is>
      </c>
      <c r="B5" s="22" t="inlineStr">
        <is>
          <t>As at reporting date shown on the dataset</t>
        </is>
      </c>
    </row>
    <row r="7" ht="44" customHeight="1">
      <c r="A7" s="24" t="inlineStr">
        <is>
          <t>The recorded weekly macro works on the analyst's own file and fails on every other extract. It flickers through fifteen screens while running, takes eleven seconds, and stops with a debug dialog whenever a column is missing — which a branch user reads as the file being corrupted.</t>
        </is>
      </c>
    </row>
    <row r="9">
      <c r="A9" s="25" t="inlineStr">
        <is>
          <t>Source data: '4.9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Hardening the recorded macro for production</t>
        </is>
      </c>
      <c r="C13" s="38" t="inlineStr">
        <is>
          <t>The macro edited in the VB Editor: every hard-coded range address listed and at least one replaced with CurrentRegion, screen updating switched off and back on, and the run time before and after recorded.</t>
        </is>
      </c>
      <c r="D13" s="37" t="inlineStr">
        <is>
          <t>Head of MIS</t>
        </is>
      </c>
      <c r="E13" s="31" t="n"/>
    </row>
    <row r="14" ht="52" customHeight="1">
      <c r="A14" s="35" t="n">
        <v>2</v>
      </c>
      <c r="B14" s="36" t="inlineStr">
        <is>
          <t>Removing Select and Activate</t>
        </is>
      </c>
      <c r="C14" s="38" t="inlineStr">
        <is>
          <t>At least three .Select or .Activate lines removed and the actions rewritten to work directly on the range object, with the code before and after shown.</t>
        </is>
      </c>
      <c r="D14" s="37" t="inlineStr">
        <is>
          <t>Head of MIS</t>
        </is>
      </c>
      <c r="E14" s="31" t="n"/>
    </row>
    <row r="15" ht="65" customHeight="1">
      <c r="A15" s="35" t="n">
        <v>3</v>
      </c>
      <c r="B15" s="36" t="inlineStr">
        <is>
          <t>Code documentation for the handover</t>
        </is>
      </c>
      <c r="C15" s="38" t="inlineStr">
        <is>
          <t>A comment block at the top of the macro stating author, date, purpose and what it assumes about the input file, plus a note on the VBA terms Sub, Module, Object, Property and Method for the handover.</t>
        </is>
      </c>
      <c r="D15" s="37" t="inlineStr">
        <is>
          <t>Head of Internal Audit</t>
        </is>
      </c>
      <c r="E15" s="31" t="n"/>
    </row>
    <row r="16" ht="65" customHeight="1">
      <c r="A16" s="35" t="n">
        <v>4</v>
      </c>
      <c r="B16" s="36" t="inlineStr">
        <is>
          <t>Debugging evidence</t>
        </is>
      </c>
      <c r="C16" s="38" t="inlineStr">
        <is>
          <t>Evidence of stepping through the macro with F8, setting a breakpoint, and inspecting one value in the Immediate window, plus a one-line Sub that confirms to the user that the report has refreshed.</t>
        </is>
      </c>
      <c r="D16" s="37" t="inlineStr">
        <is>
          <t>Head of MIS</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16.xml><?xml version="1.0" encoding="utf-8"?>
<worksheet xmlns="http://schemas.openxmlformats.org/spreadsheetml/2006/main">
  <sheetPr>
    <tabColor rgb="001F3864"/>
    <outlinePr summaryBelow="1" summaryRight="1"/>
    <pageSetUpPr/>
  </sheetPr>
  <dimension ref="A1:F26"/>
  <sheetViews>
    <sheetView showGridLines="0" workbookViewId="0">
      <pane ySplit="5" topLeftCell="A6" activePane="bottomLeft" state="frozen"/>
      <selection pane="bottomLeft" activeCell="A1" sqref="A1"/>
    </sheetView>
  </sheetViews>
  <sheetFormatPr baseColWidth="8" defaultRowHeight="15"/>
  <cols>
    <col width="36" customWidth="1" min="1" max="1"/>
    <col width="26" customWidth="1" min="2" max="2"/>
    <col width="34" customWidth="1" min="3" max="3"/>
  </cols>
  <sheetData>
    <row r="1" ht="26" customHeight="1">
      <c r="A1" s="1" t="inlineStr">
        <is>
          <t>Dataset 4.10  —  Macro Security Settings and Trusted Locations</t>
        </is>
      </c>
    </row>
    <row r="2" ht="16" customHeight="1">
      <c r="A2" s="2" t="inlineStr">
        <is>
          <t>Session 4: Advanced Charts, Macros &amp; Workbook Management | Part B: Introduction to Macros   |   Adamjee Assurance Company Limited (Pakistan) — training data, figures in PKR</t>
        </is>
      </c>
    </row>
    <row r="4">
      <c r="A4" s="9" t="inlineStr">
        <is>
          <t>Table A — The four macro security settings</t>
        </is>
      </c>
    </row>
    <row r="5" ht="30" customHeight="1">
      <c r="A5" s="10" t="inlineStr">
        <is>
          <t>Setting</t>
        </is>
      </c>
      <c r="B5" s="10" t="inlineStr">
        <is>
          <t>What happens</t>
        </is>
      </c>
      <c r="C5" s="10" t="inlineStr">
        <is>
          <t>Appropriate for</t>
        </is>
      </c>
    </row>
    <row r="6">
      <c r="A6" s="7" t="inlineStr">
        <is>
          <t>Disable all macros without notification</t>
        </is>
      </c>
      <c r="B6" s="7" t="inlineStr">
        <is>
          <t>Macros never run, no warning</t>
        </is>
      </c>
      <c r="C6" s="7" t="inlineStr">
        <is>
          <t>Locked-down user machines</t>
        </is>
      </c>
    </row>
    <row r="7">
      <c r="A7" s="15" t="inlineStr">
        <is>
          <t>Disable all macros with notification</t>
        </is>
      </c>
      <c r="B7" s="15" t="inlineStr">
        <is>
          <t>Yellow bar appears, user chooses</t>
        </is>
      </c>
      <c r="C7" s="15" t="inlineStr">
        <is>
          <t>The recommended default</t>
        </is>
      </c>
    </row>
    <row r="8">
      <c r="A8" s="7" t="inlineStr">
        <is>
          <t>Disable all except digitally signed macros</t>
        </is>
      </c>
      <c r="B8" s="7" t="inlineStr">
        <is>
          <t>Only signed code runs</t>
        </is>
      </c>
      <c r="C8" s="7" t="inlineStr">
        <is>
          <t>Distributed corporate tools</t>
        </is>
      </c>
    </row>
    <row r="9">
      <c r="A9" s="15" t="inlineStr">
        <is>
          <t>Enable all macros (not recommended)</t>
        </is>
      </c>
      <c r="B9" s="15" t="inlineStr">
        <is>
          <t>Everything runs, including malware</t>
        </is>
      </c>
      <c r="C9" s="15" t="inlineStr">
        <is>
          <t>Never on a network machine</t>
        </is>
      </c>
    </row>
    <row r="11">
      <c r="A11" s="9" t="inlineStr">
        <is>
          <t>Table B — Trust Center concepts</t>
        </is>
      </c>
    </row>
    <row r="12" ht="30" customHeight="1">
      <c r="A12" s="10" t="inlineStr">
        <is>
          <t>Concept</t>
        </is>
      </c>
      <c r="B12" s="10" t="inlineStr">
        <is>
          <t>Meaning</t>
        </is>
      </c>
    </row>
    <row r="13">
      <c r="A13" s="7" t="inlineStr">
        <is>
          <t>Trusted Location</t>
        </is>
      </c>
      <c r="B13" s="7" t="inlineStr">
        <is>
          <t>A folder whose files always open with macros enabled</t>
        </is>
      </c>
    </row>
    <row r="14">
      <c r="A14" s="15" t="inlineStr">
        <is>
          <t>Trusted Document</t>
        </is>
      </c>
      <c r="B14" s="15" t="inlineStr">
        <is>
          <t>A single file the user has enabled once, remembered thereafter</t>
        </is>
      </c>
    </row>
    <row r="15">
      <c r="A15" s="7" t="inlineStr">
        <is>
          <t>Protected View</t>
        </is>
      </c>
      <c r="B15" s="7" t="inlineStr">
        <is>
          <t>Read-only sandbox for files from the internet or email</t>
        </is>
      </c>
    </row>
    <row r="16">
      <c r="A16" s="15" t="inlineStr">
        <is>
          <t>Digital Signature</t>
        </is>
      </c>
      <c r="B16" s="15" t="inlineStr">
        <is>
          <t>Certificate proving who wrote the code and that it is unchanged</t>
        </is>
      </c>
    </row>
    <row r="17">
      <c r="A17" s="7" t="inlineStr">
        <is>
          <t>Trusted Publisher</t>
        </is>
      </c>
      <c r="B17" s="7" t="inlineStr">
        <is>
          <t>A signer whose files run without prompting</t>
        </is>
      </c>
    </row>
    <row r="19">
      <c r="A19" s="9" t="inlineStr">
        <is>
          <t>Table C — Deployment scenario to assess</t>
        </is>
      </c>
    </row>
    <row r="20" ht="30" customHeight="1">
      <c r="A20" s="10" t="inlineStr">
        <is>
          <t>Scenario</t>
        </is>
      </c>
      <c r="B20" s="10" t="inlineStr">
        <is>
          <t>Risk</t>
        </is>
      </c>
      <c r="C20" s="10" t="inlineStr">
        <is>
          <t>Your recommendation</t>
        </is>
      </c>
    </row>
    <row r="21">
      <c r="A21" s="7" t="inlineStr">
        <is>
          <t>Tool emailed to 40 branch users</t>
        </is>
      </c>
      <c r="B21" s="7" t="inlineStr"/>
      <c r="C21" s="7" t="inlineStr"/>
    </row>
    <row r="22">
      <c r="A22" s="15" t="inlineStr">
        <is>
          <t>Tool placed on a shared network drive</t>
        </is>
      </c>
      <c r="B22" s="15" t="inlineStr"/>
      <c r="C22" s="15" t="inlineStr"/>
    </row>
    <row r="23">
      <c r="A23" s="7" t="inlineStr">
        <is>
          <t>Tool downloaded from a vendor website</t>
        </is>
      </c>
      <c r="B23" s="7" t="inlineStr"/>
      <c r="C23" s="7" t="inlineStr"/>
    </row>
    <row r="24">
      <c r="A24" s="15" t="inlineStr">
        <is>
          <t>Tool built by a departing employee</t>
        </is>
      </c>
      <c r="B24" s="15" t="inlineStr"/>
      <c r="C24" s="15" t="inlineStr"/>
    </row>
    <row r="26">
      <c r="A26"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17.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Security assessment for the branch reporting tool</t>
        </is>
      </c>
    </row>
    <row r="3">
      <c r="A3" s="21" t="inlineStr">
        <is>
          <t>Prepared for:</t>
        </is>
      </c>
      <c r="B3" s="22" t="inlineStr">
        <is>
          <t>Head of IT Security</t>
        </is>
      </c>
    </row>
    <row r="4">
      <c r="A4" s="21" t="inlineStr">
        <is>
          <t>Prepared by:</t>
        </is>
      </c>
      <c r="B4" s="23" t="n"/>
    </row>
    <row r="5">
      <c r="A5" s="21" t="inlineStr">
        <is>
          <t>Reporting date:</t>
        </is>
      </c>
      <c r="B5" s="22" t="inlineStr">
        <is>
          <t>As at reporting date shown on the dataset</t>
        </is>
      </c>
    </row>
    <row r="7" ht="44" customHeight="1">
      <c r="A7" s="24" t="inlineStr">
        <is>
          <t>The branch reporting tool is about to be distributed to forty users. IT Security blocks macros by default and will not approve distribution without an assessment, and the last tool was approved by an email that simply said 'it is from our own team'.</t>
        </is>
      </c>
    </row>
    <row r="9">
      <c r="A9" s="25" t="inlineStr">
        <is>
          <t>Source data: '4.10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Security assessment for the branch reporting tool</t>
        </is>
      </c>
      <c r="C13" s="38" t="inlineStr">
        <is>
          <t>A security assessment recording: the four macro security settings and what each does, which setting this machine uses, and which setting Adamjee should standardise on for branch machines with your reasoning.</t>
        </is>
      </c>
      <c r="D13" s="37" t="inlineStr">
        <is>
          <t>Head of IT Security</t>
        </is>
      </c>
      <c r="E13" s="31" t="n"/>
    </row>
    <row r="14" ht="65" customHeight="1">
      <c r="A14" s="35" t="n">
        <v>2</v>
      </c>
      <c r="B14" s="36" t="inlineStr">
        <is>
          <t>Trusted location design for the shared drive</t>
        </is>
      </c>
      <c r="C14" s="38" t="inlineStr">
        <is>
          <t>A written design covering: how a trusted location is added, what the subfolders option does, the difference between a trusted location and a trusted document, and why trusting a network location carries more risk.</t>
        </is>
      </c>
      <c r="D14" s="37" t="inlineStr">
        <is>
          <t>Head of IT Security</t>
        </is>
      </c>
      <c r="E14" s="31" t="n"/>
    </row>
    <row r="15" ht="65" customHeight="1">
      <c r="A15" s="35" t="n">
        <v>3</v>
      </c>
      <c r="B15" s="36" t="inlineStr">
        <is>
          <t>Deployment risk register</t>
        </is>
      </c>
      <c r="C15" s="38" t="inlineStr">
        <is>
          <t>The completed risk register for all four scenarios — emailed to forty users, placed on a shared drive, downloaded from a vendor site, built by a departing employee — with the risk and your recommendation for each.</t>
        </is>
      </c>
      <c r="D15" s="37" t="inlineStr">
        <is>
          <t>Head of Internal Audit</t>
        </is>
      </c>
      <c r="E15" s="31" t="n"/>
    </row>
    <row r="16" ht="65" customHeight="1">
      <c r="A16" s="35" t="n">
        <v>4</v>
      </c>
      <c r="B16" s="36" t="inlineStr">
        <is>
          <t>Final distribution recommendation</t>
        </is>
      </c>
      <c r="C16" s="38" t="inlineStr">
        <is>
          <t>A two-line recommendation stating the safest way to distribute the tool at Adamjee, and what happens to a file arriving as an email attachment before the user even sees the macro warning.</t>
        </is>
      </c>
      <c r="D16" s="37" t="inlineStr">
        <is>
          <t>Head of IT Security</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18.xml><?xml version="1.0" encoding="utf-8"?>
<worksheet xmlns="http://schemas.openxmlformats.org/spreadsheetml/2006/main">
  <sheetPr>
    <tabColor rgb="001F3864"/>
    <outlinePr summaryBelow="1" summaryRight="1"/>
    <pageSetUpPr/>
  </sheetPr>
  <dimension ref="A1:F38"/>
  <sheetViews>
    <sheetView showGridLines="0" workbookViewId="0">
      <pane ySplit="5" topLeftCell="A6" activePane="bottomLeft" state="frozen"/>
      <selection pane="bottomLeft" activeCell="A1" sqref="A1"/>
    </sheetView>
  </sheetViews>
  <sheetFormatPr baseColWidth="8" defaultRowHeight="15"/>
  <cols>
    <col width="36" customWidth="1" min="1" max="1"/>
    <col width="26" customWidth="1" min="2" max="2"/>
    <col width="34" customWidth="1" min="3" max="3"/>
    <col width="14" customWidth="1" min="4" max="4"/>
    <col width="22" customWidth="1" min="5" max="5"/>
    <col width="22" customWidth="1" min="6" max="6"/>
  </cols>
  <sheetData>
    <row r="1" ht="26" customHeight="1">
      <c r="A1" s="1" t="inlineStr">
        <is>
          <t>Dataset 4.11  —  Formula Auditing Tools (Trace Precedents, Trace Dependents, Evaluate Formula, Error Checking)</t>
        </is>
      </c>
    </row>
    <row r="2" ht="16" customHeight="1">
      <c r="A2" s="2" t="inlineStr">
        <is>
          <t>Session 4: Advanced Charts, Macros &amp; Workbook Management | Part C: Workbook Management, Auditing &amp; Wrap-Up   |   Adamjee Assurance Company Limited (Pakistan) — training data, figures in PKR</t>
        </is>
      </c>
    </row>
    <row r="3"/>
    <row r="4">
      <c r="A4" s="9" t="inlineStr">
        <is>
          <t>Table A — Branch data (the source)</t>
        </is>
      </c>
    </row>
    <row r="5" ht="30" customHeight="1">
      <c r="A5" s="10" t="inlineStr">
        <is>
          <t>Branch</t>
        </is>
      </c>
      <c r="B5" s="10" t="inlineStr">
        <is>
          <t>Region</t>
        </is>
      </c>
      <c r="C5" s="10" t="inlineStr">
        <is>
          <t>GWP (PKR)</t>
        </is>
      </c>
      <c r="D5" s="10" t="inlineStr">
        <is>
          <t>Claims Paid (PKR)</t>
        </is>
      </c>
      <c r="E5" s="10" t="inlineStr">
        <is>
          <t>Commission (PKR)</t>
        </is>
      </c>
      <c r="F5" s="10" t="inlineStr">
        <is>
          <t>Expenses (PKR)</t>
        </is>
      </c>
    </row>
    <row r="6">
      <c r="A6" s="7" t="inlineStr">
        <is>
          <t>Karachi Main</t>
        </is>
      </c>
      <c r="B6" s="7" t="inlineStr">
        <is>
          <t>South</t>
        </is>
      </c>
      <c r="C6" s="11" t="n">
        <v>92131000</v>
      </c>
      <c r="D6" s="11" t="n">
        <v>65724000</v>
      </c>
      <c r="E6" s="11" t="n">
        <v>13358995</v>
      </c>
      <c r="F6" s="11" t="n">
        <v>16767842</v>
      </c>
    </row>
    <row r="7">
      <c r="A7" s="15" t="inlineStr">
        <is>
          <t>Lahore Gulberg</t>
        </is>
      </c>
      <c r="B7" s="15" t="inlineStr">
        <is>
          <t>Central</t>
        </is>
      </c>
      <c r="C7" s="14" t="n">
        <v>141380000</v>
      </c>
      <c r="D7" s="14" t="n">
        <v>57964000</v>
      </c>
      <c r="E7" s="14" t="n">
        <v>20500100</v>
      </c>
      <c r="F7" s="14" t="n">
        <v>25731160</v>
      </c>
    </row>
    <row r="8">
      <c r="A8" s="7" t="inlineStr">
        <is>
          <t>Islamabad Blue Area</t>
        </is>
      </c>
      <c r="B8" s="7" t="inlineStr">
        <is>
          <t>North</t>
        </is>
      </c>
      <c r="C8" s="11" t="n">
        <v>104189000</v>
      </c>
      <c r="D8" s="11" t="n">
        <v>83606000</v>
      </c>
      <c r="E8" s="11" t="n">
        <v>15107404</v>
      </c>
      <c r="F8" s="11" t="n">
        <v>18962398</v>
      </c>
    </row>
    <row r="9">
      <c r="A9" s="15" t="inlineStr">
        <is>
          <t>Faisalabad</t>
        </is>
      </c>
      <c r="B9" s="15" t="inlineStr">
        <is>
          <t>Central</t>
        </is>
      </c>
      <c r="C9" s="14" t="n">
        <v>143901000</v>
      </c>
      <c r="D9" s="14" t="n">
        <v>61688000</v>
      </c>
      <c r="E9" s="14" t="n">
        <v>20865645</v>
      </c>
      <c r="F9" s="14" t="n">
        <v>26189982</v>
      </c>
    </row>
    <row r="10">
      <c r="A10" s="7" t="inlineStr">
        <is>
          <t>Multan</t>
        </is>
      </c>
      <c r="B10" s="7" t="inlineStr">
        <is>
          <t>Central</t>
        </is>
      </c>
      <c r="C10" s="11" t="n">
        <v>135817000</v>
      </c>
      <c r="D10" s="11" t="n">
        <v>65127000</v>
      </c>
      <c r="E10" s="11" t="n">
        <v>19693465</v>
      </c>
      <c r="F10" s="11" t="n">
        <v>24718694</v>
      </c>
    </row>
    <row r="11">
      <c r="A11" s="15" t="inlineStr">
        <is>
          <t>Peshawar</t>
        </is>
      </c>
      <c r="B11" s="15" t="inlineStr">
        <is>
          <t>North</t>
        </is>
      </c>
      <c r="C11" s="14" t="n">
        <v>155756000</v>
      </c>
      <c r="D11" s="14" t="n">
        <v>58505000</v>
      </c>
      <c r="E11" s="14" t="n">
        <v>22584620</v>
      </c>
      <c r="F11" s="14" t="n">
        <v>28347592</v>
      </c>
    </row>
    <row r="12">
      <c r="A12" s="7" t="inlineStr">
        <is>
          <t>Quetta</t>
        </is>
      </c>
      <c r="B12" s="7" t="inlineStr">
        <is>
          <t>South</t>
        </is>
      </c>
      <c r="C12" s="11" t="n">
        <v>41000000</v>
      </c>
      <c r="D12" s="11" t="n">
        <v>16200000</v>
      </c>
      <c r="E12" s="11" t="n">
        <v>5945000</v>
      </c>
      <c r="F12" s="11" t="n">
        <v>7462000</v>
      </c>
    </row>
    <row r="13">
      <c r="A13" s="15" t="inlineStr">
        <is>
          <t>Hyderabad</t>
        </is>
      </c>
      <c r="B13" s="15" t="inlineStr">
        <is>
          <t>South</t>
        </is>
      </c>
      <c r="C13" s="14" t="n">
        <v>44500000</v>
      </c>
      <c r="D13" s="14" t="n">
        <v>17400000</v>
      </c>
      <c r="E13" s="14" t="n">
        <v>6452500</v>
      </c>
      <c r="F13" s="14" t="n">
        <v>8099000</v>
      </c>
    </row>
    <row r="14">
      <c r="A14" s="7" t="inlineStr">
        <is>
          <t>Sialkot</t>
        </is>
      </c>
      <c r="B14" s="7" t="inlineStr">
        <is>
          <t>Central</t>
        </is>
      </c>
      <c r="C14" s="11" t="n">
        <v>48000000</v>
      </c>
      <c r="D14" s="11" t="n">
        <v>18600000</v>
      </c>
      <c r="E14" s="11" t="n">
        <v>6959999</v>
      </c>
      <c r="F14" s="11" t="n">
        <v>8736000</v>
      </c>
    </row>
    <row r="15">
      <c r="A15" s="15" t="inlineStr">
        <is>
          <t>Rawalpindi</t>
        </is>
      </c>
      <c r="B15" s="15" t="inlineStr">
        <is>
          <t>North</t>
        </is>
      </c>
      <c r="C15" s="14" t="n">
        <v>51500000</v>
      </c>
      <c r="D15" s="14" t="n">
        <v>19800000</v>
      </c>
      <c r="E15" s="14" t="n">
        <v>7467499</v>
      </c>
      <c r="F15" s="14" t="n">
        <v>9373000</v>
      </c>
    </row>
    <row r="16"/>
    <row r="17">
      <c r="A17" s="9" t="inlineStr">
        <is>
          <t>Table B — The inherited summary, exactly as received (formulas live — audit them)</t>
        </is>
      </c>
    </row>
    <row r="18" ht="30" customHeight="1">
      <c r="A18" s="10" t="inlineStr">
        <is>
          <t>Line Item</t>
        </is>
      </c>
      <c r="B18" s="10" t="inlineStr">
        <is>
          <t>Value (PKR)</t>
        </is>
      </c>
      <c r="C18" s="10" t="inlineStr">
        <is>
          <t>Formula as written</t>
        </is>
      </c>
      <c r="D18" s="10" t="inlineStr">
        <is>
          <t>Suspect?</t>
        </is>
      </c>
    </row>
    <row r="19">
      <c r="A19" s="7" t="inlineStr">
        <is>
          <t>Total GWP — all branches</t>
        </is>
      </c>
      <c r="B19" s="11">
        <f>SUM(C6:C14)</f>
        <v/>
      </c>
      <c r="C19" s="50" t="inlineStr">
        <is>
          <t>=SUM(C6:C14)</t>
        </is>
      </c>
      <c r="D19" s="7" t="inlineStr"/>
    </row>
    <row r="20">
      <c r="A20" s="15" t="inlineStr">
        <is>
          <t>Total Claims Paid</t>
        </is>
      </c>
      <c r="B20" s="14">
        <f>SUM(D6:D15)</f>
        <v/>
      </c>
      <c r="C20" s="51" t="inlineStr">
        <is>
          <t>=SUM(D6:D15)</t>
        </is>
      </c>
      <c r="D20" s="15" t="inlineStr"/>
    </row>
    <row r="21">
      <c r="A21" s="7" t="inlineStr">
        <is>
          <t>Total Commission</t>
        </is>
      </c>
      <c r="B21" s="11">
        <f>SUM(E6:E15)</f>
        <v/>
      </c>
      <c r="C21" s="50" t="inlineStr">
        <is>
          <t>=SUM(E6:E15)</t>
        </is>
      </c>
      <c r="D21" s="7" t="inlineStr"/>
    </row>
    <row r="22">
      <c r="A22" s="15" t="inlineStr">
        <is>
          <t>Total Expenses</t>
        </is>
      </c>
      <c r="B22" s="14">
        <f>SUM(F6:F15)</f>
        <v/>
      </c>
      <c r="C22" s="51" t="inlineStr">
        <is>
          <t>=SUM(F6:F15)</t>
        </is>
      </c>
      <c r="D22" s="15" t="inlineStr"/>
    </row>
    <row r="23">
      <c r="A23" s="7" t="inlineStr">
        <is>
          <t>Underwriting Result</t>
        </is>
      </c>
      <c r="B23" s="52">
        <f>B19-B20-B21-B22</f>
        <v/>
      </c>
      <c r="C23" s="50" t="inlineStr">
        <is>
          <t>=B19-B20-B21-B22</t>
        </is>
      </c>
      <c r="D23" s="7" t="inlineStr"/>
    </row>
    <row r="24">
      <c r="A24" s="15" t="inlineStr">
        <is>
          <t>Loss Ratio</t>
        </is>
      </c>
      <c r="B24" s="53">
        <f>B20/B19</f>
        <v/>
      </c>
      <c r="C24" s="51" t="inlineStr">
        <is>
          <t>=B20/B19</t>
        </is>
      </c>
      <c r="D24" s="15" t="inlineStr"/>
    </row>
    <row r="25">
      <c r="A25" s="7" t="inlineStr">
        <is>
          <t>Combined Ratio</t>
        </is>
      </c>
      <c r="B25" s="54">
        <f>(B20+B21+B22)/B19</f>
        <v/>
      </c>
      <c r="C25" s="50" t="inlineStr">
        <is>
          <t>=(B20+B21+B22)/B19</t>
        </is>
      </c>
      <c r="D25" s="7" t="inlineStr"/>
    </row>
    <row r="26">
      <c r="A26" s="15" t="inlineStr">
        <is>
          <t>Budgeted GWP</t>
        </is>
      </c>
      <c r="B26" s="14">
        <f>B19*1.12</f>
        <v/>
      </c>
      <c r="C26" s="51" t="inlineStr">
        <is>
          <t>=B19*1.12</t>
        </is>
      </c>
      <c r="D26" s="15" t="inlineStr"/>
    </row>
    <row r="27">
      <c r="A27" s="7" t="inlineStr">
        <is>
          <t>Variance to Budget</t>
        </is>
      </c>
      <c r="B27" s="11">
        <f>B26-B19</f>
        <v/>
      </c>
      <c r="C27" s="50" t="inlineStr">
        <is>
          <t>=B26-B19</t>
        </is>
      </c>
      <c r="D27" s="7" t="inlineStr"/>
    </row>
    <row r="29">
      <c r="A29" s="9" t="inlineStr">
        <is>
          <t>Table C — Audit findings to complete</t>
        </is>
      </c>
    </row>
    <row r="30" ht="30" customHeight="1">
      <c r="A30" s="10" t="inlineStr">
        <is>
          <t>Check</t>
        </is>
      </c>
      <c r="B30" s="10" t="inlineStr">
        <is>
          <t>Tool to use</t>
        </is>
      </c>
      <c r="C30" s="10" t="inlineStr">
        <is>
          <t>Your finding</t>
        </is>
      </c>
    </row>
    <row r="31">
      <c r="A31" s="7" t="inlineStr">
        <is>
          <t>Does every total cover all 10 branches?</t>
        </is>
      </c>
      <c r="B31" s="7" t="inlineStr">
        <is>
          <t>Trace Precedents</t>
        </is>
      </c>
      <c r="C31" s="7" t="inlineStr"/>
    </row>
    <row r="32">
      <c r="A32" s="15" t="inlineStr">
        <is>
          <t>Which cells feed the Combined Ratio?</t>
        </is>
      </c>
      <c r="B32" s="15" t="inlineStr">
        <is>
          <t>Trace Precedents (twice)</t>
        </is>
      </c>
      <c r="C32" s="15" t="inlineStr"/>
    </row>
    <row r="33">
      <c r="A33" s="7" t="inlineStr">
        <is>
          <t>What breaks if row 10 is deleted?</t>
        </is>
      </c>
      <c r="B33" s="7" t="inlineStr">
        <is>
          <t>Trace Dependents</t>
        </is>
      </c>
      <c r="C33" s="7" t="inlineStr"/>
    </row>
    <row r="34">
      <c r="A34" s="15" t="inlineStr">
        <is>
          <t>Is any growth rate typed into a formula?</t>
        </is>
      </c>
      <c r="B34" s="15" t="inlineStr">
        <is>
          <t>Read the formulas / Ctrl+`</t>
        </is>
      </c>
      <c r="C34" s="15" t="inlineStr"/>
    </row>
    <row r="35">
      <c r="A35" s="7" t="inlineStr">
        <is>
          <t>Does any formula reference another file?</t>
        </is>
      </c>
      <c r="B35" s="7" t="inlineStr">
        <is>
          <t>Data &gt; Edit Links</t>
        </is>
      </c>
      <c r="C35" s="7" t="inlineStr"/>
    </row>
    <row r="36">
      <c r="A36" s="15" t="inlineStr">
        <is>
          <t>Are there inconsistent formulas in a row?</t>
        </is>
      </c>
      <c r="B36" s="15" t="inlineStr">
        <is>
          <t>Error Checking</t>
        </is>
      </c>
      <c r="C36" s="15" t="inlineStr"/>
    </row>
    <row r="38">
      <c r="A38"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19.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Audit of the inherited Branch Summary</t>
        </is>
      </c>
    </row>
    <row r="3">
      <c r="A3" s="21" t="inlineStr">
        <is>
          <t>Prepared for:</t>
        </is>
      </c>
      <c r="B3" s="22" t="inlineStr">
        <is>
          <t>Head of Internal Audit</t>
        </is>
      </c>
    </row>
    <row r="4">
      <c r="A4" s="21" t="inlineStr">
        <is>
          <t>Prepared by:</t>
        </is>
      </c>
      <c r="B4" s="23" t="n"/>
    </row>
    <row r="5">
      <c r="A5" s="21" t="inlineStr">
        <is>
          <t>Reporting date:</t>
        </is>
      </c>
      <c r="B5" s="22" t="inlineStr">
        <is>
          <t>As at reporting date shown on the dataset</t>
        </is>
      </c>
    </row>
    <row r="7" ht="44" customHeight="1">
      <c r="A7" s="24" t="inlineStr">
        <is>
          <t>The analyst who built the branch summary has left the company. The figures look plausible, nothing on the sheet shows an error, and the summary is due to go to the CFO on Friday as the basis for the quarterly release. Audit has been told the consolidated premium may be understated but not by how much or why.</t>
        </is>
      </c>
    </row>
    <row r="9">
      <c r="A9" s="25" t="inlineStr">
        <is>
          <t>Source data: '4.11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Audit of the inherited Branch Summary</t>
        </is>
      </c>
      <c r="C13" s="38" t="inlineStr">
        <is>
          <t>An audit finding: every formula in the summary listed, the total that omits a branch identified, and the rupee impact of the error stated. Include the corrected total.</t>
        </is>
      </c>
      <c r="D13" s="37" t="inlineStr">
        <is>
          <t>Head of Internal Audit</t>
        </is>
      </c>
      <c r="E13" s="31" t="n"/>
    </row>
    <row r="14" ht="52" customHeight="1">
      <c r="A14" s="35" t="n">
        <v>2</v>
      </c>
      <c r="B14" s="36" t="inlineStr">
        <is>
          <t>Dependency map before any correction is made</t>
        </is>
      </c>
      <c r="C14" s="38" t="inlineStr">
        <is>
          <t>A dependency map: select a branch figure and record everything that depends on it, and select the combined ratio and record everything that feeds it, stage by stage.</t>
        </is>
      </c>
      <c r="D14" s="37" t="inlineStr">
        <is>
          <t>Head of Internal Audit</t>
        </is>
      </c>
      <c r="E14" s="31" t="n"/>
    </row>
    <row r="15" ht="65" customHeight="1">
      <c r="A15" s="35" t="n">
        <v>3</v>
      </c>
      <c r="B15" s="36" t="inlineStr">
        <is>
          <t>Hard-coded assumption finding</t>
        </is>
      </c>
      <c r="C15" s="38" t="inlineStr">
        <is>
          <t>The formula containing the typed constant identified and corrected to reference a labelled input cell, with the before and after formulas recorded, plus confirmation from Edit Links that no formula references another file.</t>
        </is>
      </c>
      <c r="D15" s="37" t="inlineStr">
        <is>
          <t>Head of Internal Audit</t>
        </is>
      </c>
      <c r="E15" s="31" t="n"/>
    </row>
    <row r="16" ht="52" customHeight="1">
      <c r="A16" s="35" t="n">
        <v>4</v>
      </c>
      <c r="B16" s="36" t="inlineStr">
        <is>
          <t>Error checking and live monitoring</t>
        </is>
      </c>
      <c r="C16" s="38" t="inlineStr">
        <is>
          <t>Every rule flagged by Error Checking recorded, and evidence of the Watch Window being used to monitor the underwriting result while a branch figure is changed.</t>
        </is>
      </c>
      <c r="D16" s="37" t="inlineStr">
        <is>
          <t>Head of Internal Audit</t>
        </is>
      </c>
      <c r="E16" s="31" t="n"/>
    </row>
    <row r="17" ht="52" customHeight="1">
      <c r="A17" s="35" t="n">
        <v>5</v>
      </c>
      <c r="B17" s="36" t="inlineStr">
        <is>
          <t>Handover note for the next analyst</t>
        </is>
      </c>
      <c r="C17" s="38" t="inlineStr">
        <is>
          <t>A three-line handover note attached to the workbook: what was wrong, what you fixed, and what remains a risk for the next person who opens it.</t>
        </is>
      </c>
      <c r="D17" s="37" t="inlineStr">
        <is>
          <t>Chief Financial Officer</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120.xml><?xml version="1.0" encoding="utf-8"?>
<worksheet xmlns="http://schemas.openxmlformats.org/spreadsheetml/2006/main">
  <sheetPr>
    <tabColor rgb="001F3864"/>
    <outlinePr summaryBelow="1" summaryRight="1"/>
    <pageSetUpPr/>
  </sheetPr>
  <dimension ref="A1:H39"/>
  <sheetViews>
    <sheetView showGridLines="0" workbookViewId="0">
      <pane ySplit="5" topLeftCell="A6" activePane="bottomLeft" state="frozen"/>
      <selection pane="bottomLeft" activeCell="A1" sqref="A1"/>
    </sheetView>
  </sheetViews>
  <sheetFormatPr baseColWidth="8" defaultRowHeight="15"/>
  <cols>
    <col width="42" customWidth="1" min="1" max="1"/>
    <col width="44" customWidth="1" min="2" max="2"/>
    <col width="12" customWidth="1" min="3" max="3"/>
    <col width="20" customWidth="1" min="4" max="4"/>
    <col width="20" customWidth="1" min="5" max="5"/>
    <col width="12" customWidth="1" min="6" max="6"/>
    <col width="22" customWidth="1" min="7" max="7"/>
    <col width="24" customWidth="1" min="8" max="8"/>
  </cols>
  <sheetData>
    <row r="1" ht="26" customHeight="1">
      <c r="A1" s="1" t="inlineStr">
        <is>
          <t>Dataset 4.12  —  Advanced Worksheet and Workbook Protection</t>
        </is>
      </c>
    </row>
    <row r="2" ht="16" customHeight="1">
      <c r="A2" s="2" t="inlineStr">
        <is>
          <t>Session 4: Advanced Charts, Macros &amp; Workbook Management | Part C: Workbook Management, Auditing &amp; Wrap-Up   |   Adamjee Assurance Company Limited (Pakistan) — training data, figures in PKR</t>
        </is>
      </c>
    </row>
    <row r="4">
      <c r="A4" s="9" t="inlineStr">
        <is>
          <t>Table A — Template with input and protected areas</t>
        </is>
      </c>
    </row>
    <row r="5" ht="30" customHeight="1">
      <c r="A5" s="10" t="inlineStr">
        <is>
          <t>Entry No</t>
        </is>
      </c>
      <c r="B5" s="10" t="inlineStr">
        <is>
          <t>Policy No (input)</t>
        </is>
      </c>
      <c r="C5" s="10" t="inlineStr">
        <is>
          <t>Branch (input)</t>
        </is>
      </c>
      <c r="D5" s="10" t="inlineStr">
        <is>
          <t>Product (input)</t>
        </is>
      </c>
      <c r="E5" s="10" t="inlineStr">
        <is>
          <t>Sum Insured (input)</t>
        </is>
      </c>
      <c r="F5" s="10" t="inlineStr">
        <is>
          <t>Rate (locked)</t>
        </is>
      </c>
      <c r="G5" s="10" t="inlineStr">
        <is>
          <t>Gross Premium (formula)</t>
        </is>
      </c>
      <c r="H5" s="10" t="inlineStr">
        <is>
          <t>Approved By (supervisor only)</t>
        </is>
      </c>
    </row>
    <row r="6">
      <c r="A6" s="43" t="n">
        <v>1</v>
      </c>
      <c r="B6" s="7" t="inlineStr"/>
      <c r="C6" s="7" t="inlineStr"/>
      <c r="D6" s="7" t="inlineStr"/>
      <c r="E6" s="11" t="n"/>
      <c r="F6" s="12" t="n">
        <v>0.0165</v>
      </c>
      <c r="G6" s="11" t="n"/>
      <c r="H6" s="7" t="inlineStr"/>
    </row>
    <row r="7">
      <c r="A7" s="42" t="n">
        <v>2</v>
      </c>
      <c r="B7" s="15" t="inlineStr"/>
      <c r="C7" s="15" t="inlineStr"/>
      <c r="D7" s="15" t="inlineStr"/>
      <c r="E7" s="14" t="n"/>
      <c r="F7" s="16" t="n">
        <v>0.0165</v>
      </c>
      <c r="G7" s="14" t="n"/>
      <c r="H7" s="15" t="inlineStr"/>
    </row>
    <row r="8">
      <c r="A8" s="43" t="n">
        <v>3</v>
      </c>
      <c r="B8" s="7" t="inlineStr"/>
      <c r="C8" s="7" t="inlineStr"/>
      <c r="D8" s="7" t="inlineStr"/>
      <c r="E8" s="11" t="n"/>
      <c r="F8" s="12" t="n">
        <v>0.0165</v>
      </c>
      <c r="G8" s="11" t="n"/>
      <c r="H8" s="7" t="inlineStr"/>
    </row>
    <row r="9">
      <c r="A9" s="42" t="n">
        <v>4</v>
      </c>
      <c r="B9" s="15" t="inlineStr"/>
      <c r="C9" s="15" t="inlineStr"/>
      <c r="D9" s="15" t="inlineStr"/>
      <c r="E9" s="14" t="n"/>
      <c r="F9" s="16" t="n">
        <v>0.0165</v>
      </c>
      <c r="G9" s="14" t="n"/>
      <c r="H9" s="15" t="inlineStr"/>
    </row>
    <row r="10">
      <c r="A10" s="43" t="n">
        <v>5</v>
      </c>
      <c r="B10" s="7" t="inlineStr"/>
      <c r="C10" s="7" t="inlineStr"/>
      <c r="D10" s="7" t="inlineStr"/>
      <c r="E10" s="11" t="n"/>
      <c r="F10" s="12" t="n">
        <v>0.0165</v>
      </c>
      <c r="G10" s="11" t="n"/>
      <c r="H10" s="7" t="inlineStr"/>
    </row>
    <row r="11">
      <c r="A11" s="42" t="n">
        <v>6</v>
      </c>
      <c r="B11" s="15" t="inlineStr"/>
      <c r="C11" s="15" t="inlineStr"/>
      <c r="D11" s="15" t="inlineStr"/>
      <c r="E11" s="14" t="n"/>
      <c r="F11" s="16" t="n">
        <v>0.0165</v>
      </c>
      <c r="G11" s="14" t="n"/>
      <c r="H11" s="15" t="inlineStr"/>
    </row>
    <row r="12">
      <c r="A12" s="43" t="n">
        <v>7</v>
      </c>
      <c r="B12" s="7" t="inlineStr"/>
      <c r="C12" s="7" t="inlineStr"/>
      <c r="D12" s="7" t="inlineStr"/>
      <c r="E12" s="11" t="n"/>
      <c r="F12" s="12" t="n">
        <v>0.0165</v>
      </c>
      <c r="G12" s="11" t="n"/>
      <c r="H12" s="7" t="inlineStr"/>
    </row>
    <row r="13">
      <c r="A13" s="42" t="n">
        <v>8</v>
      </c>
      <c r="B13" s="15" t="inlineStr"/>
      <c r="C13" s="15" t="inlineStr"/>
      <c r="D13" s="15" t="inlineStr"/>
      <c r="E13" s="14" t="n"/>
      <c r="F13" s="16" t="n">
        <v>0.0165</v>
      </c>
      <c r="G13" s="14" t="n"/>
      <c r="H13" s="15" t="inlineStr"/>
    </row>
    <row r="14">
      <c r="A14" s="43" t="n">
        <v>9</v>
      </c>
      <c r="B14" s="7" t="inlineStr"/>
      <c r="C14" s="7" t="inlineStr"/>
      <c r="D14" s="7" t="inlineStr"/>
      <c r="E14" s="11" t="n"/>
      <c r="F14" s="12" t="n">
        <v>0.0165</v>
      </c>
      <c r="G14" s="11" t="n"/>
      <c r="H14" s="7" t="inlineStr"/>
    </row>
    <row r="15">
      <c r="A15" s="42" t="n">
        <v>10</v>
      </c>
      <c r="B15" s="15" t="inlineStr"/>
      <c r="C15" s="15" t="inlineStr"/>
      <c r="D15" s="15" t="inlineStr"/>
      <c r="E15" s="14" t="n"/>
      <c r="F15" s="16" t="n">
        <v>0.0165</v>
      </c>
      <c r="G15" s="14" t="n"/>
      <c r="H15" s="15" t="inlineStr"/>
    </row>
    <row r="16">
      <c r="A16" s="43" t="n">
        <v>11</v>
      </c>
      <c r="B16" s="7" t="inlineStr"/>
      <c r="C16" s="7" t="inlineStr"/>
      <c r="D16" s="7" t="inlineStr"/>
      <c r="E16" s="11" t="n"/>
      <c r="F16" s="12" t="n">
        <v>0.0165</v>
      </c>
      <c r="G16" s="11" t="n"/>
      <c r="H16" s="7" t="inlineStr"/>
    </row>
    <row r="17">
      <c r="A17" s="42" t="n">
        <v>12</v>
      </c>
      <c r="B17" s="15" t="inlineStr"/>
      <c r="C17" s="15" t="inlineStr"/>
      <c r="D17" s="15" t="inlineStr"/>
      <c r="E17" s="14" t="n"/>
      <c r="F17" s="16" t="n">
        <v>0.0165</v>
      </c>
      <c r="G17" s="14" t="n"/>
      <c r="H17" s="15" t="inlineStr"/>
    </row>
    <row r="19">
      <c r="A19" s="9" t="inlineStr">
        <is>
          <t>Table B — Confidential rate card (must be hidden from branch users)</t>
        </is>
      </c>
    </row>
    <row r="20" ht="30" customHeight="1">
      <c r="A20" s="10" t="inlineStr">
        <is>
          <t>Product</t>
        </is>
      </c>
      <c r="B20" s="10" t="inlineStr">
        <is>
          <t>Base Rate</t>
        </is>
      </c>
      <c r="C20" s="10" t="inlineStr">
        <is>
          <t>Loading</t>
        </is>
      </c>
      <c r="D20" s="10" t="inlineStr">
        <is>
          <t>Min Premium (PKR)</t>
        </is>
      </c>
    </row>
    <row r="21">
      <c r="A21" s="7" t="inlineStr">
        <is>
          <t>Motor</t>
        </is>
      </c>
      <c r="B21" s="12" t="n">
        <v>0.008</v>
      </c>
      <c r="C21" s="13" t="n">
        <v>0.05</v>
      </c>
      <c r="D21" s="11" t="n">
        <v>5000</v>
      </c>
    </row>
    <row r="22">
      <c r="A22" s="15" t="inlineStr">
        <is>
          <t>Fire &amp; Property</t>
        </is>
      </c>
      <c r="B22" s="16" t="n">
        <v>0.0115</v>
      </c>
      <c r="C22" s="17" t="n">
        <v>0.06</v>
      </c>
      <c r="D22" s="14" t="n">
        <v>7500</v>
      </c>
    </row>
    <row r="23">
      <c r="A23" s="7" t="inlineStr">
        <is>
          <t>Marine Cargo</t>
        </is>
      </c>
      <c r="B23" s="12" t="n">
        <v>0.015</v>
      </c>
      <c r="C23" s="13" t="n">
        <v>0.07000000000000001</v>
      </c>
      <c r="D23" s="11" t="n">
        <v>10000</v>
      </c>
    </row>
    <row r="24">
      <c r="A24" s="15" t="inlineStr">
        <is>
          <t>Health</t>
        </is>
      </c>
      <c r="B24" s="16" t="n">
        <v>0.0185</v>
      </c>
      <c r="C24" s="17" t="n">
        <v>0.08</v>
      </c>
      <c r="D24" s="14" t="n">
        <v>12500</v>
      </c>
    </row>
    <row r="25">
      <c r="A25" s="7" t="inlineStr">
        <is>
          <t>Travel</t>
        </is>
      </c>
      <c r="B25" s="12" t="n">
        <v>0.022</v>
      </c>
      <c r="C25" s="13" t="n">
        <v>0.09</v>
      </c>
      <c r="D25" s="11" t="n">
        <v>15000</v>
      </c>
    </row>
    <row r="26">
      <c r="A26" s="15" t="inlineStr">
        <is>
          <t>Engineering</t>
        </is>
      </c>
      <c r="B26" s="16" t="n">
        <v>0.0255</v>
      </c>
      <c r="C26" s="17" t="n">
        <v>0.1</v>
      </c>
      <c r="D26" s="14" t="n">
        <v>17500</v>
      </c>
    </row>
    <row r="27">
      <c r="A27" s="7" t="inlineStr">
        <is>
          <t>Miscellaneous</t>
        </is>
      </c>
      <c r="B27" s="12" t="n">
        <v>0.029</v>
      </c>
      <c r="C27" s="13" t="n">
        <v>0.11</v>
      </c>
      <c r="D27" s="11" t="n">
        <v>20000</v>
      </c>
    </row>
    <row r="29">
      <c r="A29" s="9" t="inlineStr">
        <is>
          <t>Table C — Protection requirements</t>
        </is>
      </c>
    </row>
    <row r="30" ht="30" customHeight="1">
      <c r="A30" s="10" t="inlineStr">
        <is>
          <t>Requirement</t>
        </is>
      </c>
      <c r="B30" s="10" t="inlineStr">
        <is>
          <t>Feature to use</t>
        </is>
      </c>
    </row>
    <row r="31">
      <c r="A31" s="7" t="inlineStr">
        <is>
          <t>Users may type only in the input columns</t>
        </is>
      </c>
      <c r="B31" s="7" t="inlineStr">
        <is>
          <t>Cell locking + Protect Sheet</t>
        </is>
      </c>
    </row>
    <row r="32">
      <c r="A32" s="15" t="inlineStr">
        <is>
          <t>Formula column cannot be edited or seen</t>
        </is>
      </c>
      <c r="B32" s="15" t="inlineStr">
        <is>
          <t>Format Cells &gt; Protection &gt; Hidden</t>
        </is>
      </c>
    </row>
    <row r="33">
      <c r="A33" s="7" t="inlineStr">
        <is>
          <t>Rate card sheet not visible at all</t>
        </is>
      </c>
      <c r="B33" s="7" t="inlineStr">
        <is>
          <t>Very Hidden via VBA, or Hide + protect structure</t>
        </is>
      </c>
    </row>
    <row r="34">
      <c r="A34" s="15" t="inlineStr">
        <is>
          <t>Sheets cannot be added, deleted or renamed</t>
        </is>
      </c>
      <c r="B34" s="15" t="inlineStr">
        <is>
          <t>Protect Workbook &gt; Structure</t>
        </is>
      </c>
    </row>
    <row r="35">
      <c r="A35" s="7" t="inlineStr">
        <is>
          <t>Supervisor edits the approval column only</t>
        </is>
      </c>
      <c r="B35" s="7" t="inlineStr">
        <is>
          <t>Allow Users to Edit Ranges with a password</t>
        </is>
      </c>
    </row>
    <row r="36">
      <c r="A36" s="15" t="inlineStr">
        <is>
          <t>File cannot be opened by unauthorised staff</t>
        </is>
      </c>
      <c r="B36" s="15" t="inlineStr">
        <is>
          <t>File &gt; Info &gt; Encrypt with Password</t>
        </is>
      </c>
    </row>
    <row r="37">
      <c r="A37" s="7" t="inlineStr">
        <is>
          <t>File opens read-only unless a password is given</t>
        </is>
      </c>
      <c r="B37" s="7" t="inlineStr">
        <is>
          <t>Save As &gt; Tools &gt; General Options</t>
        </is>
      </c>
    </row>
    <row r="39">
      <c r="A39"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21.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Branch Data Entry Template locked for distribution</t>
        </is>
      </c>
    </row>
    <row r="3">
      <c r="A3" s="21" t="inlineStr">
        <is>
          <t>Prepared for:</t>
        </is>
      </c>
      <c r="B3" s="22" t="inlineStr">
        <is>
          <t>Head of Operations</t>
        </is>
      </c>
    </row>
    <row r="4">
      <c r="A4" s="21" t="inlineStr">
        <is>
          <t>Prepared by:</t>
        </is>
      </c>
      <c r="B4" s="23" t="n"/>
    </row>
    <row r="5">
      <c r="A5" s="21" t="inlineStr">
        <is>
          <t>Reporting date:</t>
        </is>
      </c>
      <c r="B5" s="22" t="inlineStr">
        <is>
          <t>As at reporting date shown on the dataset</t>
        </is>
      </c>
    </row>
    <row r="7" ht="44" customHeight="1">
      <c r="A7" s="24" t="inlineStr">
        <is>
          <t>The entry template goes to ten branches tomorrow. The version sent last quarter came back with the premium formula overwritten in four rows with typed values, one branch had renamed the sheets, and two had deleted the reference tab because they did not know what it was for.</t>
        </is>
      </c>
    </row>
    <row r="9">
      <c r="A9" s="25" t="inlineStr">
        <is>
          <t>Source data: '4.12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78" customHeight="1">
      <c r="A13" s="35" t="n">
        <v>1</v>
      </c>
      <c r="B13" s="36" t="inlineStr">
        <is>
          <t>Branch Data Entry Template locked for distribution</t>
        </is>
      </c>
      <c r="C13" s="38" t="inlineStr">
        <is>
          <t>The template with only the input columns unlocked, the premium formula protected and hidden from view, and the sheet protected so users may select unlocked cells, sort and filter but do nothing else. Record the options you allowed.</t>
        </is>
      </c>
      <c r="D13" s="37" t="inlineStr">
        <is>
          <t>Head of Operations</t>
        </is>
      </c>
      <c r="E13" s="31" t="n"/>
    </row>
    <row r="14" ht="52" customHeight="1">
      <c r="A14" s="35" t="n">
        <v>2</v>
      </c>
      <c r="B14" s="36" t="inlineStr">
        <is>
          <t>Confidential rate card concealment</t>
        </is>
      </c>
      <c r="C14" s="38" t="inlineStr">
        <is>
          <t>The rate card sheet concealed so it does not appear in the Unhide list, with the workbook structure protected, and a note on the difference between hidden and very hidden.</t>
        </is>
      </c>
      <c r="D14" s="37" t="inlineStr">
        <is>
          <t>Chief Underwriting Officer</t>
        </is>
      </c>
      <c r="E14" s="31" t="n"/>
    </row>
    <row r="15" ht="52" customHeight="1">
      <c r="A15" s="35" t="n">
        <v>3</v>
      </c>
      <c r="B15" s="36" t="inlineStr">
        <is>
          <t>Supervisor approval column</t>
        </is>
      </c>
      <c r="C15" s="38" t="inlineStr">
        <is>
          <t>The approval column released to a separate supervisor password using Allow Users to Edit Ranges, tested by attempting to edit it without the password and with it.</t>
        </is>
      </c>
      <c r="D15" s="37" t="inlineStr">
        <is>
          <t>Head of Operations</t>
        </is>
      </c>
      <c r="E15" s="31" t="n"/>
    </row>
    <row r="16" ht="52" customHeight="1">
      <c r="A16" s="35" t="n">
        <v>4</v>
      </c>
      <c r="B16" s="36" t="inlineStr">
        <is>
          <t>File-level access control</t>
        </is>
      </c>
      <c r="C16" s="38" t="inlineStr">
        <is>
          <t>A file open password and a separate modify password applied, with a written statement of what Excel protection does and does not defend against.</t>
        </is>
      </c>
      <c r="D16" s="37" t="inlineStr">
        <is>
          <t>Head of Compliance</t>
        </is>
      </c>
      <c r="E16" s="31" t="n"/>
    </row>
    <row r="17" ht="52" customHeight="1">
      <c r="A17" s="35" t="n">
        <v>5</v>
      </c>
      <c r="B17" s="36" t="inlineStr">
        <is>
          <t>Password custody record</t>
        </is>
      </c>
      <c r="C17" s="38" t="inlineStr">
        <is>
          <t>A password custody record listing every password applied, its purpose and its owner, plus one line on why this record matters more than the protection itself.</t>
        </is>
      </c>
      <c r="D17" s="37" t="inlineStr">
        <is>
          <t>Head of Operations</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122.xml><?xml version="1.0" encoding="utf-8"?>
<worksheet xmlns="http://schemas.openxmlformats.org/spreadsheetml/2006/main">
  <sheetPr>
    <tabColor rgb="001F3864"/>
    <outlinePr summaryBelow="1" summaryRight="1"/>
    <pageSetUpPr/>
  </sheetPr>
  <dimension ref="A1:F35"/>
  <sheetViews>
    <sheetView showGridLines="0" workbookViewId="0">
      <pane ySplit="5" topLeftCell="A6" activePane="bottomLeft" state="frozen"/>
      <selection pane="bottomLeft" activeCell="A1" sqref="A1"/>
    </sheetView>
  </sheetViews>
  <sheetFormatPr baseColWidth="8" defaultRowHeight="15"/>
  <cols>
    <col width="34" customWidth="1" min="1" max="1"/>
    <col width="44" customWidth="1" min="2" max="2"/>
    <col width="20" customWidth="1" min="3" max="3"/>
    <col width="20" customWidth="1" min="4" max="4"/>
    <col width="18" customWidth="1" min="5" max="5"/>
  </cols>
  <sheetData>
    <row r="1" ht="26" customHeight="1">
      <c r="A1" s="1" t="inlineStr">
        <is>
          <t>Dataset 4.13  —  Linking Workbooks and Managing External References</t>
        </is>
      </c>
    </row>
    <row r="2" ht="16" customHeight="1">
      <c r="A2" s="2" t="inlineStr">
        <is>
          <t>Session 4: Advanced Charts, Macros &amp; Workbook Management | Part C: Workbook Management, Auditing &amp; Wrap-Up   |   Adamjee Assurance Company Limited (Pakistan) — training data, figures in PKR</t>
        </is>
      </c>
    </row>
    <row r="4">
      <c r="A4" s="9" t="inlineStr">
        <is>
          <t>Table A — Consolidation sheet that will hold the external links</t>
        </is>
      </c>
    </row>
    <row r="5" ht="30" customHeight="1">
      <c r="A5" s="10" t="inlineStr">
        <is>
          <t>Branch</t>
        </is>
      </c>
      <c r="B5" s="10" t="inlineStr">
        <is>
          <t>Source Workbook</t>
        </is>
      </c>
      <c r="C5" s="10" t="inlineStr">
        <is>
          <t>GWP (PKR)</t>
        </is>
      </c>
      <c r="D5" s="10" t="inlineStr">
        <is>
          <t>Claims (PKR)</t>
        </is>
      </c>
      <c r="E5" s="10" t="inlineStr">
        <is>
          <t>Link Status</t>
        </is>
      </c>
    </row>
    <row r="6">
      <c r="A6" s="7" t="inlineStr">
        <is>
          <t>Karachi Main</t>
        </is>
      </c>
      <c r="B6" s="7" t="inlineStr">
        <is>
          <t>ADM_KHI_Sep2024.xlsx</t>
        </is>
      </c>
      <c r="C6" s="11" t="n"/>
      <c r="D6" s="11" t="n"/>
      <c r="E6" s="7" t="inlineStr"/>
    </row>
    <row r="7">
      <c r="A7" s="15" t="inlineStr">
        <is>
          <t>Lahore Gulberg</t>
        </is>
      </c>
      <c r="B7" s="15" t="inlineStr">
        <is>
          <t>ADM_LHR_Sep2024.xlsx</t>
        </is>
      </c>
      <c r="C7" s="14" t="n"/>
      <c r="D7" s="14" t="n"/>
      <c r="E7" s="15" t="inlineStr"/>
    </row>
    <row r="8">
      <c r="A8" s="7" t="inlineStr">
        <is>
          <t>Islamabad Blue Area</t>
        </is>
      </c>
      <c r="B8" s="7" t="inlineStr">
        <is>
          <t>ADM_ISB_Sep2024.xlsx</t>
        </is>
      </c>
      <c r="C8" s="11" t="n"/>
      <c r="D8" s="11" t="n"/>
      <c r="E8" s="7" t="inlineStr"/>
    </row>
    <row r="9">
      <c r="A9" s="15" t="inlineStr">
        <is>
          <t>Faisalabad</t>
        </is>
      </c>
      <c r="B9" s="15" t="inlineStr">
        <is>
          <t>ADM_FSD_Sep2024.xlsx</t>
        </is>
      </c>
      <c r="C9" s="14" t="n"/>
      <c r="D9" s="14" t="n"/>
      <c r="E9" s="15" t="inlineStr"/>
    </row>
    <row r="10">
      <c r="A10" s="7" t="inlineStr">
        <is>
          <t>Multan</t>
        </is>
      </c>
      <c r="B10" s="7" t="inlineStr">
        <is>
          <t>ADM_MUL_Sep2024.xlsx</t>
        </is>
      </c>
      <c r="C10" s="11" t="n"/>
      <c r="D10" s="11" t="n"/>
      <c r="E10" s="7" t="inlineStr"/>
    </row>
    <row r="12">
      <c r="A12" s="9" t="inlineStr">
        <is>
          <t>Table B — Karachi Main figures (save this block as its own workbook to practise)</t>
        </is>
      </c>
    </row>
    <row r="13" ht="30" customHeight="1">
      <c r="A13" s="10" t="inlineStr">
        <is>
          <t>Line Item</t>
        </is>
      </c>
      <c r="B13" s="10" t="inlineStr">
        <is>
          <t>Amount (PKR)</t>
        </is>
      </c>
    </row>
    <row r="14">
      <c r="A14" s="7" t="inlineStr">
        <is>
          <t>Gross Written Premium</t>
        </is>
      </c>
      <c r="B14" s="11" t="n">
        <v>48500000</v>
      </c>
    </row>
    <row r="15">
      <c r="A15" s="15" t="inlineStr">
        <is>
          <t>Claims Paid</t>
        </is>
      </c>
      <c r="B15" s="14" t="n">
        <v>21300000</v>
      </c>
    </row>
    <row r="16">
      <c r="A16" s="7" t="inlineStr">
        <is>
          <t>Commission</t>
        </is>
      </c>
      <c r="B16" s="11" t="n">
        <v>6800000</v>
      </c>
    </row>
    <row r="17">
      <c r="A17" s="15" t="inlineStr">
        <is>
          <t>Management Expenses</t>
        </is>
      </c>
      <c r="B17" s="14" t="n">
        <v>5200000</v>
      </c>
    </row>
    <row r="19">
      <c r="A19" s="9" t="inlineStr">
        <is>
          <t>Table C — Lahore Gulberg figures (save as a second workbook)</t>
        </is>
      </c>
    </row>
    <row r="20" ht="30" customHeight="1">
      <c r="A20" s="10" t="inlineStr">
        <is>
          <t>Line Item</t>
        </is>
      </c>
      <c r="B20" s="10" t="inlineStr">
        <is>
          <t>Amount (PKR)</t>
        </is>
      </c>
    </row>
    <row r="21">
      <c r="A21" s="7" t="inlineStr">
        <is>
          <t>Gross Written Premium</t>
        </is>
      </c>
      <c r="B21" s="11" t="n">
        <v>33200000</v>
      </c>
    </row>
    <row r="22">
      <c r="A22" s="15" t="inlineStr">
        <is>
          <t>Claims Paid</t>
        </is>
      </c>
      <c r="B22" s="14" t="n">
        <v>19900000</v>
      </c>
    </row>
    <row r="23">
      <c r="A23" s="7" t="inlineStr">
        <is>
          <t>Commission</t>
        </is>
      </c>
      <c r="B23" s="11" t="n">
        <v>4600000</v>
      </c>
    </row>
    <row r="24">
      <c r="A24" s="15" t="inlineStr">
        <is>
          <t>Management Expenses</t>
        </is>
      </c>
      <c r="B24" s="14" t="n">
        <v>3800000</v>
      </c>
    </row>
    <row r="26">
      <c r="A26" s="9" t="inlineStr">
        <is>
          <t>Table D — Link management commands</t>
        </is>
      </c>
    </row>
    <row r="27" ht="30" customHeight="1">
      <c r="A27" s="10" t="inlineStr">
        <is>
          <t>Task</t>
        </is>
      </c>
      <c r="B27" s="10" t="inlineStr">
        <is>
          <t>Where</t>
        </is>
      </c>
    </row>
    <row r="28">
      <c r="A28" s="7" t="inlineStr">
        <is>
          <t>See every external link</t>
        </is>
      </c>
      <c r="B28" s="7" t="inlineStr">
        <is>
          <t>Data &gt; Edit Links</t>
        </is>
      </c>
    </row>
    <row r="29">
      <c r="A29" s="15" t="inlineStr">
        <is>
          <t>Change the source file</t>
        </is>
      </c>
      <c r="B29" s="15" t="inlineStr">
        <is>
          <t>Edit Links &gt; Change Source</t>
        </is>
      </c>
    </row>
    <row r="30">
      <c r="A30" s="7" t="inlineStr">
        <is>
          <t>Update values now</t>
        </is>
      </c>
      <c r="B30" s="7" t="inlineStr">
        <is>
          <t>Edit Links &gt; Update Values</t>
        </is>
      </c>
    </row>
    <row r="31">
      <c r="A31" s="15" t="inlineStr">
        <is>
          <t>Cut the link, keep the number</t>
        </is>
      </c>
      <c r="B31" s="15" t="inlineStr">
        <is>
          <t>Edit Links &gt; Break Link</t>
        </is>
      </c>
    </row>
    <row r="32">
      <c r="A32" s="7" t="inlineStr">
        <is>
          <t>Control the update prompt</t>
        </is>
      </c>
      <c r="B32" s="7" t="inlineStr">
        <is>
          <t>Edit Links &gt; Startup Prompt</t>
        </is>
      </c>
    </row>
    <row r="33">
      <c r="A33" s="15" t="inlineStr">
        <is>
          <t>Find links hidden in names and charts</t>
        </is>
      </c>
      <c r="B33" s="15" t="inlineStr">
        <is>
          <t>Name Manager, chart series, conditional formats</t>
        </is>
      </c>
    </row>
    <row r="35">
      <c r="A35"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23.xml><?xml version="1.0" encoding="utf-8"?>
<worksheet xmlns="http://schemas.openxmlformats.org/spreadsheetml/2006/main">
  <sheetPr>
    <tabColor rgb="00C00000"/>
    <outlinePr summaryBelow="1" summaryRight="1"/>
    <pageSetUpPr/>
  </sheetPr>
  <dimension ref="A1:L3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Consolidated Management Account with external links</t>
        </is>
      </c>
    </row>
    <row r="3">
      <c r="A3" s="21" t="inlineStr">
        <is>
          <t>Prepared for:</t>
        </is>
      </c>
      <c r="B3" s="22" t="inlineStr">
        <is>
          <t>Chief Financial Officer</t>
        </is>
      </c>
    </row>
    <row r="4">
      <c r="A4" s="21" t="inlineStr">
        <is>
          <t>Prepared by:</t>
        </is>
      </c>
      <c r="B4" s="23" t="n"/>
    </row>
    <row r="5">
      <c r="A5" s="21" t="inlineStr">
        <is>
          <t>Reporting date:</t>
        </is>
      </c>
      <c r="B5" s="22" t="inlineStr">
        <is>
          <t>As at reporting date shown on the dataset</t>
        </is>
      </c>
    </row>
    <row r="7" ht="44" customHeight="1">
      <c r="A7" s="24" t="inlineStr">
        <is>
          <t>The consolidated management account links to five branch workbooks. Last month one branch renamed its file, the links broke, and the pack was issued with the previous month's figures for two branches. The error was found by the branch, not by Finance.</t>
        </is>
      </c>
    </row>
    <row r="9">
      <c r="A9" s="25" t="inlineStr">
        <is>
          <t>Source data: '4.13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65" customHeight="1">
      <c r="A13" s="35" t="n">
        <v>1</v>
      </c>
      <c r="B13" s="36" t="inlineStr">
        <is>
          <t>Consolidated Management Account with external links</t>
        </is>
      </c>
      <c r="C13" s="38" t="inlineStr">
        <is>
          <t>A consolidation sheet with working external link formulas pulling GWP and claims from two separate branch workbooks, with the link formulas shown both while the sources are open and after they are closed.</t>
        </is>
      </c>
      <c r="D13" s="37" t="inlineStr">
        <is>
          <t>Chief Financial Officer</t>
        </is>
      </c>
      <c r="E13" s="31" t="n"/>
    </row>
    <row r="14" ht="52" customHeight="1">
      <c r="A14" s="35" t="n">
        <v>2</v>
      </c>
      <c r="B14" s="36" t="inlineStr">
        <is>
          <t>Link register for the month-end checklist</t>
        </is>
      </c>
      <c r="C14" s="38" t="inlineStr">
        <is>
          <t>A link register produced from Edit Links: source file, type, update mode and status for every link, ready to be attached to the month-end checklist.</t>
        </is>
      </c>
      <c r="D14" s="37" t="inlineStr">
        <is>
          <t>Head of Internal Audit</t>
        </is>
      </c>
      <c r="E14" s="31" t="n"/>
    </row>
    <row r="15" ht="78" customHeight="1">
      <c r="A15" s="35" t="n">
        <v>3</v>
      </c>
      <c r="B15" s="36" t="inlineStr">
        <is>
          <t>Break-and-repair incident drill</t>
        </is>
      </c>
      <c r="C15" s="38" t="inlineStr">
        <is>
          <t>A drill record: rename one source file, reopen the consolidation, record the exact error, repair it with Change Source without retyping any formula, then break a second link deliberately and record precisely what is left in the cell afterwards.</t>
        </is>
      </c>
      <c r="D15" s="37" t="inlineStr">
        <is>
          <t>Head of MIS</t>
        </is>
      </c>
      <c r="E15" s="31" t="n"/>
    </row>
    <row r="16" ht="52" customHeight="1">
      <c r="A16" s="35" t="n">
        <v>4</v>
      </c>
      <c r="B16" s="36" t="inlineStr">
        <is>
          <t>Hidden links search</t>
        </is>
      </c>
      <c r="C16" s="38" t="inlineStr">
        <is>
          <t>A search record covering the four places links hide — defined names, chart series, data validation and conditional formats — with anything found listed.</t>
        </is>
      </c>
      <c r="D16" s="37" t="inlineStr">
        <is>
          <t>Head of Internal Audit</t>
        </is>
      </c>
      <c r="E16" s="31" t="n"/>
    </row>
    <row r="17" ht="52" customHeight="1">
      <c r="A17" s="35" t="n">
        <v>5</v>
      </c>
      <c r="B17" s="36" t="inlineStr">
        <is>
          <t>Architecture recommendation</t>
        </is>
      </c>
      <c r="C17" s="38" t="inlineStr">
        <is>
          <t>A two-line recommendation comparing external links against a Power Query folder import for this consolidation, with your decision and the reason.</t>
        </is>
      </c>
      <c r="D17" s="37" t="inlineStr">
        <is>
          <t>Head of MIS</t>
        </is>
      </c>
      <c r="E17" s="31" t="n"/>
    </row>
    <row r="19" ht="20" customHeight="1">
      <c r="A19" s="33" t="inlineStr">
        <is>
          <t>BUILD YOUR REPORT / OUTPUT BELOW  (pivot, chart, macro output, or model — as required above)</t>
        </is>
      </c>
    </row>
    <row r="20" ht="16" customHeight="1">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5" ht="32" customHeight="1">
      <c r="A35"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5:E35"/>
    <mergeCell ref="A7:K7"/>
    <mergeCell ref="A1:L1"/>
    <mergeCell ref="A19:E19"/>
    <mergeCell ref="A11:E11"/>
  </mergeCells>
  <hyperlinks>
    <hyperlink xmlns:r="http://schemas.openxmlformats.org/officeDocument/2006/relationships" ref="A9" r:id="rId1"/>
  </hyperlinks>
  <pageMargins left="0.75" right="0.75" top="1" bottom="1" header="0.5" footer="0.5"/>
</worksheet>
</file>

<file path=xl/worksheets/sheet124.xml><?xml version="1.0" encoding="utf-8"?>
<worksheet xmlns="http://schemas.openxmlformats.org/spreadsheetml/2006/main">
  <sheetPr>
    <tabColor rgb="001F3864"/>
    <outlinePr summaryBelow="1" summaryRight="1"/>
    <pageSetUpPr/>
  </sheetPr>
  <dimension ref="A1:F32"/>
  <sheetViews>
    <sheetView showGridLines="0" workbookViewId="0">
      <pane ySplit="5" topLeftCell="A6" activePane="bottomLeft" state="frozen"/>
      <selection pane="bottomLeft" activeCell="A1" sqref="A1"/>
    </sheetView>
  </sheetViews>
  <sheetFormatPr baseColWidth="8" defaultRowHeight="15"/>
  <cols>
    <col width="24" customWidth="1" min="1" max="1"/>
    <col width="30" customWidth="1" min="2" max="2"/>
    <col width="16" customWidth="1" min="3" max="3"/>
    <col width="18" customWidth="1" min="4" max="4"/>
    <col width="24" customWidth="1" min="5" max="5"/>
    <col width="16" customWidth="1" min="6" max="6"/>
  </cols>
  <sheetData>
    <row r="1" ht="26" customHeight="1">
      <c r="A1" s="1" t="inlineStr">
        <is>
          <t>Dataset 4.14  —  Data Consolidation Across Multiple Branch Files</t>
        </is>
      </c>
    </row>
    <row r="2" ht="16" customHeight="1">
      <c r="A2" s="2" t="inlineStr">
        <is>
          <t>Session 4: Advanced Charts, Macros &amp; Workbook Management | Part C: Workbook Management, Auditing &amp; Wrap-Up   |   Adamjee Assurance Company Limited (Pakistan) — training data, figures in PKR</t>
        </is>
      </c>
    </row>
    <row r="4">
      <c r="A4" s="9" t="inlineStr">
        <is>
          <t>Table A — Karachi Main monthly statement (copy to its own sheet)</t>
        </is>
      </c>
    </row>
    <row r="5" ht="30" customHeight="1">
      <c r="A5" s="10" t="inlineStr">
        <is>
          <t>Line Item</t>
        </is>
      </c>
      <c r="B5" s="10" t="inlineStr">
        <is>
          <t>Motor</t>
        </is>
      </c>
      <c r="C5" s="10" t="inlineStr">
        <is>
          <t>Fire &amp; Property</t>
        </is>
      </c>
      <c r="D5" s="10" t="inlineStr">
        <is>
          <t>Marine Cargo</t>
        </is>
      </c>
      <c r="E5" s="10" t="inlineStr">
        <is>
          <t>Health</t>
        </is>
      </c>
      <c r="F5" s="10" t="inlineStr">
        <is>
          <t>Engineering</t>
        </is>
      </c>
    </row>
    <row r="6">
      <c r="A6" s="7" t="inlineStr">
        <is>
          <t>Gross Written Premium</t>
        </is>
      </c>
      <c r="B6" s="11" t="n">
        <v>18400000</v>
      </c>
      <c r="C6" s="11" t="n">
        <v>12100000</v>
      </c>
      <c r="D6" s="11" t="n">
        <v>9650000</v>
      </c>
      <c r="E6" s="11" t="n">
        <v>5450000</v>
      </c>
      <c r="F6" s="11" t="n">
        <v>2900000</v>
      </c>
    </row>
    <row r="7">
      <c r="A7" s="15" t="inlineStr">
        <is>
          <t>Claims Paid</t>
        </is>
      </c>
      <c r="B7" s="14" t="n">
        <v>9200000</v>
      </c>
      <c r="C7" s="14" t="n">
        <v>4800000</v>
      </c>
      <c r="D7" s="14" t="n">
        <v>3100000</v>
      </c>
      <c r="E7" s="14" t="n">
        <v>3650000</v>
      </c>
      <c r="F7" s="14" t="n">
        <v>980000</v>
      </c>
    </row>
    <row r="8">
      <c r="A8" s="7" t="inlineStr">
        <is>
          <t>Commission</t>
        </is>
      </c>
      <c r="B8" s="11" t="n">
        <v>2660000</v>
      </c>
      <c r="C8" s="11" t="n">
        <v>1750000</v>
      </c>
      <c r="D8" s="11" t="n">
        <v>1400000</v>
      </c>
      <c r="E8" s="11" t="n">
        <v>790000</v>
      </c>
      <c r="F8" s="11" t="n">
        <v>420000</v>
      </c>
    </row>
    <row r="9">
      <c r="A9" s="15" t="inlineStr">
        <is>
          <t>Management Expenses</t>
        </is>
      </c>
      <c r="B9" s="14" t="n">
        <v>3340000</v>
      </c>
      <c r="C9" s="14" t="n">
        <v>2200000</v>
      </c>
      <c r="D9" s="14" t="n">
        <v>1750000</v>
      </c>
      <c r="E9" s="14" t="n">
        <v>990000</v>
      </c>
      <c r="F9" s="14" t="n">
        <v>530000</v>
      </c>
    </row>
    <row r="11">
      <c r="A11" s="9" t="inlineStr">
        <is>
          <t>Table B — Lahore Gulberg monthly statement</t>
        </is>
      </c>
    </row>
    <row r="12" ht="30" customHeight="1">
      <c r="A12" s="10" t="inlineStr">
        <is>
          <t>Line Item</t>
        </is>
      </c>
      <c r="B12" s="10" t="inlineStr">
        <is>
          <t>Motor</t>
        </is>
      </c>
      <c r="C12" s="10" t="inlineStr">
        <is>
          <t>Fire &amp; Property</t>
        </is>
      </c>
      <c r="D12" s="10" t="inlineStr">
        <is>
          <t>Marine Cargo</t>
        </is>
      </c>
      <c r="E12" s="10" t="inlineStr">
        <is>
          <t>Health</t>
        </is>
      </c>
      <c r="F12" s="10" t="inlineStr">
        <is>
          <t>Engineering</t>
        </is>
      </c>
    </row>
    <row r="13">
      <c r="A13" s="7" t="inlineStr">
        <is>
          <t>Gross Written Premium</t>
        </is>
      </c>
      <c r="B13" s="11" t="n">
        <v>11900000</v>
      </c>
      <c r="C13" s="11" t="n">
        <v>9450000</v>
      </c>
      <c r="D13" s="11" t="n">
        <v>4150000</v>
      </c>
      <c r="E13" s="11" t="n">
        <v>6980000</v>
      </c>
      <c r="F13" s="11" t="n">
        <v>4320000</v>
      </c>
    </row>
    <row r="14">
      <c r="A14" s="15" t="inlineStr">
        <is>
          <t>Claims Paid</t>
        </is>
      </c>
      <c r="B14" s="14" t="n">
        <v>7100000</v>
      </c>
      <c r="C14" s="14" t="n">
        <v>5200000</v>
      </c>
      <c r="D14" s="14" t="n">
        <v>1650000</v>
      </c>
      <c r="E14" s="14" t="n">
        <v>4120000</v>
      </c>
      <c r="F14" s="14" t="n">
        <v>1830000</v>
      </c>
    </row>
    <row r="15">
      <c r="A15" s="7" t="inlineStr">
        <is>
          <t>Commission</t>
        </is>
      </c>
      <c r="B15" s="11" t="n">
        <v>1720000</v>
      </c>
      <c r="C15" s="11" t="n">
        <v>1370000</v>
      </c>
      <c r="D15" s="11" t="n">
        <v>600000</v>
      </c>
      <c r="E15" s="11" t="n">
        <v>1010000</v>
      </c>
      <c r="F15" s="11" t="n">
        <v>630000</v>
      </c>
    </row>
    <row r="16">
      <c r="A16" s="15" t="inlineStr">
        <is>
          <t>Management Expenses</t>
        </is>
      </c>
      <c r="B16" s="14" t="n">
        <v>2160000</v>
      </c>
      <c r="C16" s="14" t="n">
        <v>1720000</v>
      </c>
      <c r="D16" s="14" t="n">
        <v>750000</v>
      </c>
      <c r="E16" s="14" t="n">
        <v>1270000</v>
      </c>
      <c r="F16" s="14" t="n">
        <v>790000</v>
      </c>
    </row>
    <row r="18">
      <c r="A18" s="9" t="inlineStr">
        <is>
          <t>Table C — Islamabad Blue Area monthly statement (NOTE: product columns in a different order)</t>
        </is>
      </c>
    </row>
    <row r="19" ht="30" customHeight="1">
      <c r="A19" s="10" t="inlineStr">
        <is>
          <t>Line Item</t>
        </is>
      </c>
      <c r="B19" s="10" t="inlineStr">
        <is>
          <t>Health</t>
        </is>
      </c>
      <c r="C19" s="10" t="inlineStr">
        <is>
          <t>Motor</t>
        </is>
      </c>
      <c r="D19" s="10" t="inlineStr">
        <is>
          <t>Engineering</t>
        </is>
      </c>
      <c r="E19" s="10" t="inlineStr">
        <is>
          <t>Fire &amp; Property</t>
        </is>
      </c>
      <c r="F19" s="10" t="inlineStr">
        <is>
          <t>Marine Cargo</t>
        </is>
      </c>
    </row>
    <row r="20">
      <c r="A20" s="7" t="inlineStr">
        <is>
          <t>Gross Written Premium</t>
        </is>
      </c>
      <c r="B20" s="11" t="n">
        <v>8240000</v>
      </c>
      <c r="C20" s="11" t="n">
        <v>6650000</v>
      </c>
      <c r="D20" s="11" t="n">
        <v>2760000</v>
      </c>
      <c r="E20" s="11" t="n">
        <v>5320000</v>
      </c>
      <c r="F20" s="11" t="n">
        <v>1420000</v>
      </c>
    </row>
    <row r="21">
      <c r="A21" s="15" t="inlineStr">
        <is>
          <t>Claims Paid</t>
        </is>
      </c>
      <c r="B21" s="14" t="n">
        <v>4900000</v>
      </c>
      <c r="C21" s="14" t="n">
        <v>3300000</v>
      </c>
      <c r="D21" s="14" t="n">
        <v>1140000</v>
      </c>
      <c r="E21" s="14" t="n">
        <v>2450000</v>
      </c>
      <c r="F21" s="14" t="n">
        <v>380000</v>
      </c>
    </row>
    <row r="22">
      <c r="A22" s="7" t="inlineStr">
        <is>
          <t>Commission</t>
        </is>
      </c>
      <c r="B22" s="11" t="n">
        <v>1195000</v>
      </c>
      <c r="C22" s="11" t="n">
        <v>965000</v>
      </c>
      <c r="D22" s="11" t="n">
        <v>400000</v>
      </c>
      <c r="E22" s="11" t="n">
        <v>770000</v>
      </c>
      <c r="F22" s="11" t="n">
        <v>205000</v>
      </c>
    </row>
    <row r="23">
      <c r="A23" s="15" t="inlineStr">
        <is>
          <t>Management Expenses</t>
        </is>
      </c>
      <c r="B23" s="14" t="n">
        <v>1500000</v>
      </c>
      <c r="C23" s="14" t="n">
        <v>1210000</v>
      </c>
      <c r="D23" s="14" t="n">
        <v>500000</v>
      </c>
      <c r="E23" s="14" t="n">
        <v>970000</v>
      </c>
      <c r="F23" s="14" t="n">
        <v>260000</v>
      </c>
    </row>
    <row r="25">
      <c r="A25" s="9" t="inlineStr">
        <is>
          <t>Table D — Method comparison to complete</t>
        </is>
      </c>
    </row>
    <row r="26" ht="30" customHeight="1">
      <c r="A26" s="10" t="inlineStr">
        <is>
          <t>Method</t>
        </is>
      </c>
      <c r="B26" s="10" t="inlineStr">
        <is>
          <t>Handles different column order?</t>
        </is>
      </c>
      <c r="C26" s="10" t="inlineStr">
        <is>
          <t>Refreshable?</t>
        </is>
      </c>
      <c r="D26" s="10" t="inlineStr">
        <is>
          <t>Drill to source?</t>
        </is>
      </c>
      <c r="E26" s="10" t="inlineStr">
        <is>
          <t>Your verdict</t>
        </is>
      </c>
    </row>
    <row r="27">
      <c r="A27" s="7" t="inlineStr">
        <is>
          <t>Data &gt; Consolidate</t>
        </is>
      </c>
      <c r="B27" s="7" t="inlineStr"/>
      <c r="C27" s="7" t="inlineStr"/>
      <c r="D27" s="7" t="inlineStr"/>
      <c r="E27" s="7" t="inlineStr"/>
    </row>
    <row r="28">
      <c r="A28" s="15" t="inlineStr">
        <is>
          <t>3D formula across sheets</t>
        </is>
      </c>
      <c r="B28" s="15" t="inlineStr"/>
      <c r="C28" s="15" t="inlineStr"/>
      <c r="D28" s="15" t="inlineStr"/>
      <c r="E28" s="15" t="inlineStr"/>
    </row>
    <row r="29">
      <c r="A29" s="7" t="inlineStr">
        <is>
          <t>Power Query Append</t>
        </is>
      </c>
      <c r="B29" s="7" t="inlineStr"/>
      <c r="C29" s="7" t="inlineStr"/>
      <c r="D29" s="7" t="inlineStr"/>
      <c r="E29" s="7" t="inlineStr"/>
    </row>
    <row r="30">
      <c r="A30" s="15" t="inlineStr">
        <is>
          <t>Copy and paste</t>
        </is>
      </c>
      <c r="B30" s="15" t="inlineStr"/>
      <c r="C30" s="15" t="inlineStr"/>
      <c r="D30" s="15" t="inlineStr"/>
      <c r="E30" s="15" t="inlineStr"/>
    </row>
    <row r="32">
      <c r="A32"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25.xml><?xml version="1.0" encoding="utf-8"?>
<worksheet xmlns="http://schemas.openxmlformats.org/spreadsheetml/2006/main">
  <sheetPr>
    <tabColor rgb="00C00000"/>
    <outlinePr summaryBelow="1" summaryRight="1"/>
    <pageSetUpPr/>
  </sheetPr>
  <dimension ref="A1:L34"/>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Consolidated Monthly Statement from five branch files</t>
        </is>
      </c>
    </row>
    <row r="3">
      <c r="A3" s="21" t="inlineStr">
        <is>
          <t>Prepared for:</t>
        </is>
      </c>
      <c r="B3" s="22" t="inlineStr">
        <is>
          <t>Regional Head — Central</t>
        </is>
      </c>
    </row>
    <row r="4">
      <c r="A4" s="21" t="inlineStr">
        <is>
          <t>Prepared by:</t>
        </is>
      </c>
      <c r="B4" s="23" t="n"/>
    </row>
    <row r="5">
      <c r="A5" s="21" t="inlineStr">
        <is>
          <t>Reporting date:</t>
        </is>
      </c>
      <c r="B5" s="22" t="inlineStr">
        <is>
          <t>As at reporting date shown on the dataset</t>
        </is>
      </c>
    </row>
    <row r="7" ht="44" customHeight="1">
      <c r="A7" s="24" t="inlineStr">
        <is>
          <t>Five branch statements must become one consolidated statement at month end. Islamabad's file has its product columns in a different order because the branch rebuilt its template, and last month the consolidation added Health figures into the Motor column for that branch. The error survived two reviews.</t>
        </is>
      </c>
    </row>
    <row r="9">
      <c r="A9" s="25" t="inlineStr">
        <is>
          <t>Source data: '4.14 Data'  (click to open)</t>
        </is>
      </c>
    </row>
    <row r="11" ht="19" customHeight="1">
      <c r="A11" s="33" t="inlineStr">
        <is>
          <t>DELIVERABLE CHECKLIST</t>
        </is>
      </c>
    </row>
    <row r="12" ht="20" customHeight="1">
      <c r="A12" s="34" t="inlineStr">
        <is>
          <t>#</t>
        </is>
      </c>
      <c r="B12" s="34" t="inlineStr">
        <is>
          <t>Deliverable</t>
        </is>
      </c>
      <c r="C12" s="34" t="inlineStr">
        <is>
          <t>Report specification</t>
        </is>
      </c>
      <c r="D12" s="34" t="inlineStr">
        <is>
          <t>Requested by</t>
        </is>
      </c>
      <c r="E12" s="34" t="inlineStr">
        <is>
          <t>Done?</t>
        </is>
      </c>
    </row>
    <row r="13" ht="52" customHeight="1">
      <c r="A13" s="35" t="n">
        <v>1</v>
      </c>
      <c r="B13" s="36" t="inlineStr">
        <is>
          <t>Consolidated Monthly Statement from five branch files</t>
        </is>
      </c>
      <c r="C13" s="38" t="inlineStr">
        <is>
          <t>A consolidated statement built with Data &gt; Consolidate using top row and left column labels, so column order cannot cause a mis-posting. All four line items across all five products.</t>
        </is>
      </c>
      <c r="D13" s="37" t="inlineStr">
        <is>
          <t>Regional Head — Central</t>
        </is>
      </c>
      <c r="E13" s="31" t="n"/>
    </row>
    <row r="14" ht="52" customHeight="1">
      <c r="A14" s="35" t="n">
        <v>2</v>
      </c>
      <c r="B14" s="36" t="inlineStr">
        <is>
          <t>Drillable consolidation for the review meeting</t>
        </is>
      </c>
      <c r="C14" s="38" t="inlineStr">
        <is>
          <t>The consolidation rebuilt with 'Create links to source data' enabled, with a note on the outline that appears and how it is used during the meeting.</t>
        </is>
      </c>
      <c r="D14" s="37" t="inlineStr">
        <is>
          <t>Regional Head — Central</t>
        </is>
      </c>
      <c r="E14" s="31" t="n"/>
    </row>
    <row r="15" ht="65" customHeight="1">
      <c r="A15" s="35" t="n">
        <v>3</v>
      </c>
      <c r="B15" s="36" t="inlineStr">
        <is>
          <t>Alternative build with 3D formulas</t>
        </is>
      </c>
      <c r="C15" s="38" t="inlineStr">
        <is>
          <t>The same total built with a 3D formula across the branch sheets, plus a test: insert a new branch sheet between the first and last and record whether the 3D formula picked it up automatically.</t>
        </is>
      </c>
      <c r="D15" s="37" t="inlineStr">
        <is>
          <t>Head of Management Reporting</t>
        </is>
      </c>
      <c r="E15" s="31" t="n"/>
    </row>
    <row r="16" ht="78" customHeight="1">
      <c r="A16" s="35" t="n">
        <v>4</v>
      </c>
      <c r="B16" s="36" t="inlineStr">
        <is>
          <t>Reconciliation and method decision</t>
        </is>
      </c>
      <c r="C16" s="38" t="inlineStr">
        <is>
          <t>A reconciliation proving the consolidated GWP equals the sum of the branch totals, the consolidated loss ratio by product with the worst line identified, and the completed method comparison naming the one method Adamjee will use at month end.</t>
        </is>
      </c>
      <c r="D16" s="37" t="inlineStr">
        <is>
          <t>Head of Internal Audit</t>
        </is>
      </c>
      <c r="E16" s="31" t="n"/>
    </row>
    <row r="18" ht="20" customHeight="1">
      <c r="A18" s="33" t="inlineStr">
        <is>
          <t>BUILD YOUR REPORT / OUTPUT BELOW  (pivot, chart, macro output, or model — as required above)</t>
        </is>
      </c>
    </row>
    <row r="19" ht="16" customHeight="1">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4" ht="32" customHeight="1">
      <c r="A34" s="32" t="inlineStr">
        <is>
          <t>HOW TO WORK: build the requested output in the blank area above (or insert a pivot table / chart / macro-driven control here), tick each deliverable off in the checklist, and record any formula or setting worth remembering in the specification column.</t>
        </is>
      </c>
    </row>
  </sheetData>
  <mergeCells count="6">
    <mergeCell ref="A2:L2"/>
    <mergeCell ref="A34:E34"/>
    <mergeCell ref="A7:K7"/>
    <mergeCell ref="A1:L1"/>
    <mergeCell ref="A11:E11"/>
    <mergeCell ref="A18:E18"/>
  </mergeCells>
  <hyperlinks>
    <hyperlink xmlns:r="http://schemas.openxmlformats.org/officeDocument/2006/relationships" ref="A9" r:id="rId1"/>
  </hyperlinks>
  <pageMargins left="0.75" right="0.75" top="1" bottom="1" header="0.5" footer="0.5"/>
</worksheet>
</file>

<file path=xl/worksheets/sheet126.xml><?xml version="1.0" encoding="utf-8"?>
<worksheet xmlns="http://schemas.openxmlformats.org/spreadsheetml/2006/main">
  <sheetPr>
    <tabColor rgb="001F3864"/>
    <outlinePr summaryBelow="1" summaryRight="1"/>
    <pageSetUpPr/>
  </sheetPr>
  <dimension ref="A1:H53"/>
  <sheetViews>
    <sheetView showGridLines="0" workbookViewId="0">
      <pane ySplit="5" topLeftCell="A6" activePane="bottomLeft" state="frozen"/>
      <selection pane="bottomLeft" activeCell="A1" sqref="A1"/>
    </sheetView>
  </sheetViews>
  <sheetFormatPr baseColWidth="8" defaultRowHeight="15"/>
  <cols>
    <col width="6" customWidth="1" min="1" max="1"/>
    <col width="66" customWidth="1" min="2" max="2"/>
    <col width="12" customWidth="1" min="3" max="3"/>
    <col width="22" customWidth="1" min="4" max="4"/>
    <col width="22" customWidth="1" min="5" max="5"/>
    <col width="10" customWidth="1" min="6" max="6"/>
    <col width="32" customWidth="1" min="7" max="7"/>
    <col width="16" customWidth="1" min="8" max="8"/>
  </cols>
  <sheetData>
    <row r="1" ht="26" customHeight="1">
      <c r="A1" s="1" t="inlineStr">
        <is>
          <t>Dataset 4.15  —  Q&amp;A and Key Takeaways — Capstone Challenge</t>
        </is>
      </c>
    </row>
    <row r="2" ht="16" customHeight="1">
      <c r="A2" s="2" t="inlineStr">
        <is>
          <t>Session 4: Advanced Charts, Macros &amp; Workbook Management | Part C: Workbook Management, Auditing &amp; Wrap-Up   |   Adamjee Assurance Company Limited (Pakistan) — training data, figures in PKR</t>
        </is>
      </c>
    </row>
    <row r="4">
      <c r="A4" s="9" t="inlineStr">
        <is>
          <t>Table A — Raw extract (dirty on purpose: text amounts, mixed case, codes, trailing spaces)</t>
        </is>
      </c>
    </row>
    <row r="5" ht="30" customHeight="1">
      <c r="A5" s="10" t="inlineStr">
        <is>
          <t>RECORD</t>
        </is>
      </c>
      <c r="B5" s="10" t="inlineStr">
        <is>
          <t>BR_PROD</t>
        </is>
      </c>
      <c r="C5" s="10" t="inlineStr">
        <is>
          <t>BOOK_DT</t>
        </is>
      </c>
      <c r="D5" s="10" t="inlineStr">
        <is>
          <t>GWP</t>
        </is>
      </c>
      <c r="E5" s="10" t="inlineStr">
        <is>
          <t>CLAIMS</t>
        </is>
      </c>
      <c r="F5" s="10" t="inlineStr">
        <is>
          <t>STATUS</t>
        </is>
      </c>
      <c r="G5" s="10" t="inlineStr">
        <is>
          <t>CLIENT</t>
        </is>
      </c>
      <c r="H5" s="10" t="inlineStr">
        <is>
          <t>CHANNEL</t>
        </is>
      </c>
    </row>
    <row r="6">
      <c r="A6" s="7" t="inlineStr">
        <is>
          <t>ADM-MTR-KHI-2024-3001|Motor Fleet</t>
        </is>
      </c>
      <c r="B6" s="7" t="inlineStr">
        <is>
          <t>KHI|MTR</t>
        </is>
      </c>
      <c r="C6" s="7" t="inlineStr">
        <is>
          <t>15/01/2024</t>
        </is>
      </c>
      <c r="D6" s="7" t="inlineStr">
        <is>
          <t>985,000</t>
        </is>
      </c>
      <c r="E6" s="7" t="inlineStr">
        <is>
          <t>341,000</t>
        </is>
      </c>
      <c r="F6" s="7" t="inlineStr">
        <is>
          <t>ACT</t>
        </is>
      </c>
      <c r="G6" s="7" t="inlineStr">
        <is>
          <t xml:space="preserve"> gul ahmed textile mills ltd</t>
        </is>
      </c>
      <c r="H6" s="7" t="inlineStr">
        <is>
          <t>Agency</t>
        </is>
      </c>
    </row>
    <row r="7">
      <c r="A7" s="15" t="inlineStr">
        <is>
          <t>ADM-FIR-LHR-2024-3002|Fire Allied</t>
        </is>
      </c>
      <c r="B7" s="15" t="inlineStr">
        <is>
          <t>LHR|FIR</t>
        </is>
      </c>
      <c r="C7" s="15" t="inlineStr">
        <is>
          <t>01/02/2024</t>
        </is>
      </c>
      <c r="D7" s="15" t="inlineStr">
        <is>
          <t>1,210,000</t>
        </is>
      </c>
      <c r="E7" s="15" t="inlineStr">
        <is>
          <t>NULL</t>
        </is>
      </c>
      <c r="F7" s="15" t="inlineStr">
        <is>
          <t>ACT</t>
        </is>
      </c>
      <c r="G7" s="15" t="inlineStr">
        <is>
          <t>NISHAT MILLS LIMITED</t>
        </is>
      </c>
      <c r="H7" s="15" t="inlineStr">
        <is>
          <t>Corporate</t>
        </is>
      </c>
    </row>
    <row r="8">
      <c r="A8" s="7" t="inlineStr">
        <is>
          <t>ADM-MAR-KHI-2024-3003|Marine Open</t>
        </is>
      </c>
      <c r="B8" s="7" t="inlineStr">
        <is>
          <t>KHI|MAR</t>
        </is>
      </c>
      <c r="C8" s="7" t="inlineStr">
        <is>
          <t>18/02/2024</t>
        </is>
      </c>
      <c r="D8" s="7" t="inlineStr">
        <is>
          <t>1,640,000</t>
        </is>
      </c>
      <c r="E8" s="7" t="inlineStr">
        <is>
          <t>208,000</t>
        </is>
      </c>
      <c r="F8" s="7" t="inlineStr">
        <is>
          <t>REN</t>
        </is>
      </c>
      <c r="G8" s="7" t="inlineStr">
        <is>
          <t xml:space="preserve">lucky cement limited </t>
        </is>
      </c>
      <c r="H8" s="7" t="inlineStr">
        <is>
          <t>Direct</t>
        </is>
      </c>
    </row>
    <row r="9">
      <c r="A9" s="15" t="inlineStr">
        <is>
          <t>ADM-HLT-ISB-2024-3004|Health Group</t>
        </is>
      </c>
      <c r="B9" s="15" t="inlineStr">
        <is>
          <t>ISB|HLT</t>
        </is>
      </c>
      <c r="C9" s="15" t="inlineStr">
        <is>
          <t>04/03/2024</t>
        </is>
      </c>
      <c r="D9" s="15" t="inlineStr">
        <is>
          <t>205,000</t>
        </is>
      </c>
      <c r="E9" s="15" t="inlineStr">
        <is>
          <t>76,000</t>
        </is>
      </c>
      <c r="F9" s="15" t="inlineStr">
        <is>
          <t>ACT</t>
        </is>
      </c>
      <c r="G9" s="15" t="inlineStr">
        <is>
          <t>Bilal Ahmed Khan</t>
        </is>
      </c>
      <c r="H9" s="15" t="inlineStr">
        <is>
          <t>Bancassurance</t>
        </is>
      </c>
    </row>
    <row r="10">
      <c r="A10" s="7" t="inlineStr">
        <is>
          <t>ADM-ENG-FSD-2024-3005|CAR Policy</t>
        </is>
      </c>
      <c r="B10" s="7" t="inlineStr">
        <is>
          <t>FSD|ENG</t>
        </is>
      </c>
      <c r="C10" s="7" t="inlineStr">
        <is>
          <t>21/03/2024</t>
        </is>
      </c>
      <c r="D10" s="7" t="inlineStr">
        <is>
          <t>720,000</t>
        </is>
      </c>
      <c r="E10" s="7" t="inlineStr">
        <is>
          <t>512,000</t>
        </is>
      </c>
      <c r="F10" s="7" t="inlineStr">
        <is>
          <t>LAP</t>
        </is>
      </c>
      <c r="G10" s="7" t="inlineStr">
        <is>
          <t>INTERLOOP LIMITED</t>
        </is>
      </c>
      <c r="H10" s="7" t="inlineStr">
        <is>
          <t>Corporate</t>
        </is>
      </c>
    </row>
    <row r="11">
      <c r="A11" s="15" t="inlineStr">
        <is>
          <t>ADM-MTR-LHR-2024-3006|Motor Private</t>
        </is>
      </c>
      <c r="B11" s="15" t="inlineStr">
        <is>
          <t>LHR|MTR</t>
        </is>
      </c>
      <c r="C11" s="15" t="inlineStr">
        <is>
          <t>09/04/2024</t>
        </is>
      </c>
      <c r="D11" s="15" t="inlineStr">
        <is>
          <t>46,800</t>
        </is>
      </c>
      <c r="E11" s="15" t="inlineStr">
        <is>
          <t>NULL</t>
        </is>
      </c>
      <c r="F11" s="15" t="inlineStr">
        <is>
          <t>ACT</t>
        </is>
      </c>
      <c r="G11" s="15" t="inlineStr">
        <is>
          <t>fatima  siddiqui</t>
        </is>
      </c>
      <c r="H11" s="15" t="inlineStr">
        <is>
          <t>Direct</t>
        </is>
      </c>
    </row>
    <row r="12">
      <c r="A12" s="7" t="inlineStr">
        <is>
          <t>ADM-TRV-KHI-2024-3007|Travel Cover</t>
        </is>
      </c>
      <c r="B12" s="7" t="inlineStr">
        <is>
          <t>KHI|TRV</t>
        </is>
      </c>
      <c r="C12" s="7" t="inlineStr">
        <is>
          <t>27/04/2024</t>
        </is>
      </c>
      <c r="D12" s="7" t="inlineStr">
        <is>
          <t>148,000</t>
        </is>
      </c>
      <c r="E12" s="7" t="inlineStr">
        <is>
          <t>NULL</t>
        </is>
      </c>
      <c r="F12" s="7" t="inlineStr">
        <is>
          <t>EXP</t>
        </is>
      </c>
      <c r="G12" s="7" t="inlineStr">
        <is>
          <t>Ahmed Raza Qureshi</t>
        </is>
      </c>
      <c r="H12" s="7" t="inlineStr">
        <is>
          <t>Agency</t>
        </is>
      </c>
    </row>
    <row r="13">
      <c r="A13" s="15" t="inlineStr">
        <is>
          <t>ADM-MSC-PEW-2024-3008|Workmen Comp</t>
        </is>
      </c>
      <c r="B13" s="15" t="inlineStr">
        <is>
          <t>PEW|MSC</t>
        </is>
      </c>
      <c r="C13" s="15" t="inlineStr">
        <is>
          <t>12/05/2024</t>
        </is>
      </c>
      <c r="D13" s="15" t="inlineStr">
        <is>
          <t>640,000</t>
        </is>
      </c>
      <c r="E13" s="15" t="inlineStr">
        <is>
          <t>398,000</t>
        </is>
      </c>
      <c r="F13" s="15" t="inlineStr">
        <is>
          <t>ACT</t>
        </is>
      </c>
      <c r="G13" s="15" t="inlineStr">
        <is>
          <t>descon engineering ltd</t>
        </is>
      </c>
      <c r="H13" s="15" t="inlineStr">
        <is>
          <t>Corporate</t>
        </is>
      </c>
    </row>
    <row r="14">
      <c r="A14" s="7" t="inlineStr">
        <is>
          <t>ADM-FIR-MUL-2024-3009|Fire Allied</t>
        </is>
      </c>
      <c r="B14" s="7" t="inlineStr">
        <is>
          <t>MUL|FIR</t>
        </is>
      </c>
      <c r="C14" s="7" t="inlineStr">
        <is>
          <t>30/05/2024</t>
        </is>
      </c>
      <c r="D14" s="7" t="inlineStr">
        <is>
          <t>2,310,000</t>
        </is>
      </c>
      <c r="E14" s="7" t="inlineStr">
        <is>
          <t>NULL</t>
        </is>
      </c>
      <c r="F14" s="7" t="inlineStr">
        <is>
          <t>ACT</t>
        </is>
      </c>
      <c r="G14" s="7" t="inlineStr">
        <is>
          <t>FAUJI FERTILIZER COMPANY</t>
        </is>
      </c>
      <c r="H14" s="7" t="inlineStr">
        <is>
          <t>Corporate</t>
        </is>
      </c>
    </row>
    <row r="15">
      <c r="A15" s="15" t="inlineStr">
        <is>
          <t>ADM-MTR-HYD-2024-3010|Motor Private</t>
        </is>
      </c>
      <c r="B15" s="15" t="inlineStr">
        <is>
          <t>HYD|MTR</t>
        </is>
      </c>
      <c r="C15" s="15" t="inlineStr">
        <is>
          <t>14/06/2024</t>
        </is>
      </c>
      <c r="D15" s="15" t="inlineStr">
        <is>
          <t>38,500</t>
        </is>
      </c>
      <c r="E15" s="15" t="inlineStr">
        <is>
          <t>12,000</t>
        </is>
      </c>
      <c r="F15" s="15" t="inlineStr">
        <is>
          <t>CAN</t>
        </is>
      </c>
      <c r="G15" s="15" t="inlineStr">
        <is>
          <t>sana javed butt</t>
        </is>
      </c>
      <c r="H15" s="15" t="inlineStr">
        <is>
          <t>Direct</t>
        </is>
      </c>
    </row>
    <row r="16">
      <c r="A16" s="7" t="inlineStr">
        <is>
          <t>ADM-MAR-KHI-2024-3011|Marine Open</t>
        </is>
      </c>
      <c r="B16" s="7" t="inlineStr">
        <is>
          <t>KHI|MAR</t>
        </is>
      </c>
      <c r="C16" s="7" t="inlineStr">
        <is>
          <t>02/07/2024</t>
        </is>
      </c>
      <c r="D16" s="7" t="inlineStr">
        <is>
          <t>1,905,000</t>
        </is>
      </c>
      <c r="E16" s="7" t="inlineStr">
        <is>
          <t>640,000</t>
        </is>
      </c>
      <c r="F16" s="7" t="inlineStr">
        <is>
          <t>ACT</t>
        </is>
      </c>
      <c r="G16" s="7" t="inlineStr">
        <is>
          <t>PACKAGES LIMITED</t>
        </is>
      </c>
      <c r="H16" s="7" t="inlineStr">
        <is>
          <t>Corporate</t>
        </is>
      </c>
    </row>
    <row r="17">
      <c r="A17" s="15" t="inlineStr">
        <is>
          <t>ADM-HLT-LHR-2024-3012|Health Group</t>
        </is>
      </c>
      <c r="B17" s="15" t="inlineStr">
        <is>
          <t>LHR|HLT</t>
        </is>
      </c>
      <c r="C17" s="15" t="inlineStr">
        <is>
          <t>19/07/2024</t>
        </is>
      </c>
      <c r="D17" s="15" t="inlineStr">
        <is>
          <t>412,000</t>
        </is>
      </c>
      <c r="E17" s="15" t="inlineStr">
        <is>
          <t>355,000</t>
        </is>
      </c>
      <c r="F17" s="15" t="inlineStr">
        <is>
          <t>ACT</t>
        </is>
      </c>
      <c r="G17" s="15" t="inlineStr">
        <is>
          <t xml:space="preserve">service industries ltd </t>
        </is>
      </c>
      <c r="H17" s="15" t="inlineStr">
        <is>
          <t>Bancassurance</t>
        </is>
      </c>
    </row>
    <row r="18">
      <c r="A18" s="7" t="inlineStr">
        <is>
          <t>ADM-ENG-KHI-2024-3013|Erection Risk</t>
        </is>
      </c>
      <c r="B18" s="7" t="inlineStr">
        <is>
          <t>KHI|ENG</t>
        </is>
      </c>
      <c r="C18" s="7" t="inlineStr">
        <is>
          <t>05/08/2024</t>
        </is>
      </c>
      <c r="D18" s="7" t="inlineStr">
        <is>
          <t>1_150,000</t>
        </is>
      </c>
      <c r="E18" s="7" t="inlineStr">
        <is>
          <t>NULL</t>
        </is>
      </c>
      <c r="F18" s="7" t="inlineStr">
        <is>
          <t>ACT</t>
        </is>
      </c>
      <c r="G18" s="7" t="inlineStr">
        <is>
          <t>K-ELECTRIC LIMITED</t>
        </is>
      </c>
      <c r="H18" s="7" t="inlineStr">
        <is>
          <t>Corporate</t>
        </is>
      </c>
    </row>
    <row r="19">
      <c r="A19" s="15" t="inlineStr">
        <is>
          <t>ADM-MTR-RWP-2024-3014|Motor Fleet</t>
        </is>
      </c>
      <c r="B19" s="15" t="inlineStr">
        <is>
          <t>RWP|MTR</t>
        </is>
      </c>
      <c r="C19" s="15" t="inlineStr">
        <is>
          <t>23/08/2024</t>
        </is>
      </c>
      <c r="D19" s="15" t="inlineStr">
        <is>
          <t>874,000</t>
        </is>
      </c>
      <c r="E19" s="15" t="inlineStr">
        <is>
          <t>455,000</t>
        </is>
      </c>
      <c r="F19" s="15" t="inlineStr">
        <is>
          <t>REN</t>
        </is>
      </c>
      <c r="G19" s="15" t="inlineStr">
        <is>
          <t>millat tractors limited</t>
        </is>
      </c>
      <c r="H19" s="15" t="inlineStr">
        <is>
          <t>Agency</t>
        </is>
      </c>
    </row>
    <row r="20">
      <c r="A20" s="7" t="inlineStr">
        <is>
          <t>ADM-FIR-SKT-2024-3015|Fire Allied</t>
        </is>
      </c>
      <c r="B20" s="7" t="inlineStr">
        <is>
          <t>SKT|FIR</t>
        </is>
      </c>
      <c r="C20" s="7" t="inlineStr">
        <is>
          <t>11/09/2024</t>
        </is>
      </c>
      <c r="D20" s="7" t="inlineStr">
        <is>
          <t>1,060,000</t>
        </is>
      </c>
      <c r="E20" s="7" t="inlineStr">
        <is>
          <t>NULL</t>
        </is>
      </c>
      <c r="F20" s="7" t="inlineStr">
        <is>
          <t>ACT</t>
        </is>
      </c>
      <c r="G20" s="7" t="inlineStr">
        <is>
          <t>Sapphire Fibres Limited</t>
        </is>
      </c>
      <c r="H20" s="7" t="inlineStr">
        <is>
          <t>Corporate</t>
        </is>
      </c>
    </row>
    <row r="22">
      <c r="A22" s="9" t="inlineStr">
        <is>
          <t>Table B — Reference data</t>
        </is>
      </c>
    </row>
    <row r="23" ht="30" customHeight="1">
      <c r="A23" s="10" t="inlineStr">
        <is>
          <t>Branch Code</t>
        </is>
      </c>
      <c r="B23" s="10" t="inlineStr">
        <is>
          <t>Branch Name</t>
        </is>
      </c>
      <c r="C23" s="10" t="inlineStr">
        <is>
          <t>Region</t>
        </is>
      </c>
      <c r="D23" s="10" t="inlineStr">
        <is>
          <t>Annual Target (PKR)</t>
        </is>
      </c>
      <c r="E23" s="10" t="inlineStr">
        <is>
          <t>Manager</t>
        </is>
      </c>
    </row>
    <row r="24">
      <c r="A24" s="7" t="inlineStr">
        <is>
          <t>KHI</t>
        </is>
      </c>
      <c r="B24" s="7" t="inlineStr">
        <is>
          <t>Karachi Main</t>
        </is>
      </c>
      <c r="C24" s="7" t="inlineStr">
        <is>
          <t>South</t>
        </is>
      </c>
      <c r="D24" s="11" t="n">
        <v>80000000</v>
      </c>
      <c r="E24" s="7" t="inlineStr">
        <is>
          <t>Tariq Jameel</t>
        </is>
      </c>
    </row>
    <row r="25">
      <c r="A25" s="15" t="inlineStr">
        <is>
          <t>LHR</t>
        </is>
      </c>
      <c r="B25" s="15" t="inlineStr">
        <is>
          <t>Lahore Gulberg</t>
        </is>
      </c>
      <c r="C25" s="15" t="inlineStr">
        <is>
          <t>Central</t>
        </is>
      </c>
      <c r="D25" s="14" t="n">
        <v>74000000</v>
      </c>
      <c r="E25" s="15" t="inlineStr">
        <is>
          <t>Nadia Hassan</t>
        </is>
      </c>
    </row>
    <row r="26">
      <c r="A26" s="7" t="inlineStr">
        <is>
          <t>ISB</t>
        </is>
      </c>
      <c r="B26" s="7" t="inlineStr">
        <is>
          <t>Islamabad Blue Area</t>
        </is>
      </c>
      <c r="C26" s="7" t="inlineStr">
        <is>
          <t>North</t>
        </is>
      </c>
      <c r="D26" s="11" t="n">
        <v>68000000</v>
      </c>
      <c r="E26" s="7" t="inlineStr">
        <is>
          <t>Salman Shah</t>
        </is>
      </c>
    </row>
    <row r="27">
      <c r="A27" s="15" t="inlineStr">
        <is>
          <t>FSD</t>
        </is>
      </c>
      <c r="B27" s="15" t="inlineStr">
        <is>
          <t>Faisalabad</t>
        </is>
      </c>
      <c r="C27" s="15" t="inlineStr">
        <is>
          <t>Central</t>
        </is>
      </c>
      <c r="D27" s="14" t="n">
        <v>62000000</v>
      </c>
      <c r="E27" s="15" t="inlineStr">
        <is>
          <t>Komal Bashir</t>
        </is>
      </c>
    </row>
    <row r="28">
      <c r="A28" s="7" t="inlineStr">
        <is>
          <t>MUL</t>
        </is>
      </c>
      <c r="B28" s="7" t="inlineStr">
        <is>
          <t>Multan</t>
        </is>
      </c>
      <c r="C28" s="7" t="inlineStr">
        <is>
          <t>Central</t>
        </is>
      </c>
      <c r="D28" s="11" t="n">
        <v>56000000</v>
      </c>
      <c r="E28" s="7" t="inlineStr">
        <is>
          <t>Waqar Younis Khan</t>
        </is>
      </c>
    </row>
    <row r="29">
      <c r="A29" s="15" t="inlineStr">
        <is>
          <t>PEW</t>
        </is>
      </c>
      <c r="B29" s="15" t="inlineStr">
        <is>
          <t>Peshawar</t>
        </is>
      </c>
      <c r="C29" s="15" t="inlineStr">
        <is>
          <t>North</t>
        </is>
      </c>
      <c r="D29" s="14" t="n">
        <v>50000000</v>
      </c>
      <c r="E29" s="15" t="inlineStr">
        <is>
          <t>Amna Zubair</t>
        </is>
      </c>
    </row>
    <row r="30">
      <c r="A30" s="7" t="inlineStr">
        <is>
          <t>QTA</t>
        </is>
      </c>
      <c r="B30" s="7" t="inlineStr">
        <is>
          <t>Quetta</t>
        </is>
      </c>
      <c r="C30" s="7" t="inlineStr">
        <is>
          <t>South</t>
        </is>
      </c>
      <c r="D30" s="11" t="n">
        <v>44000000</v>
      </c>
      <c r="E30" s="7" t="inlineStr">
        <is>
          <t>Rizwan Ali Soomro</t>
        </is>
      </c>
    </row>
    <row r="31">
      <c r="A31" s="15" t="inlineStr">
        <is>
          <t>HYD</t>
        </is>
      </c>
      <c r="B31" s="15" t="inlineStr">
        <is>
          <t>Hyderabad</t>
        </is>
      </c>
      <c r="C31" s="15" t="inlineStr">
        <is>
          <t>South</t>
        </is>
      </c>
      <c r="D31" s="14" t="n">
        <v>38000000</v>
      </c>
      <c r="E31" s="15" t="inlineStr">
        <is>
          <t>Farhan Dar</t>
        </is>
      </c>
    </row>
    <row r="32">
      <c r="A32" s="7" t="inlineStr">
        <is>
          <t>SKT</t>
        </is>
      </c>
      <c r="B32" s="7" t="inlineStr">
        <is>
          <t>Sialkot</t>
        </is>
      </c>
      <c r="C32" s="7" t="inlineStr">
        <is>
          <t>Central</t>
        </is>
      </c>
      <c r="D32" s="11" t="n">
        <v>32000000</v>
      </c>
      <c r="E32" s="7" t="inlineStr">
        <is>
          <t>Sobia Naz</t>
        </is>
      </c>
    </row>
    <row r="33">
      <c r="A33" s="15" t="inlineStr">
        <is>
          <t>RWP</t>
        </is>
      </c>
      <c r="B33" s="15" t="inlineStr">
        <is>
          <t>Rawalpindi</t>
        </is>
      </c>
      <c r="C33" s="15" t="inlineStr">
        <is>
          <t>North</t>
        </is>
      </c>
      <c r="D33" s="14" t="n">
        <v>26000000</v>
      </c>
      <c r="E33" s="15" t="inlineStr">
        <is>
          <t>Junaid Akram</t>
        </is>
      </c>
    </row>
    <row r="35">
      <c r="A35" s="9" t="inlineStr">
        <is>
          <t>Table C — Rules and thresholds</t>
        </is>
      </c>
    </row>
    <row r="36" ht="30" customHeight="1">
      <c r="A36" s="10" t="inlineStr">
        <is>
          <t>Rule</t>
        </is>
      </c>
      <c r="B36" s="10" t="inlineStr">
        <is>
          <t>Value</t>
        </is>
      </c>
    </row>
    <row r="37">
      <c r="A37" s="7" t="inlineStr">
        <is>
          <t>Commission rate</t>
        </is>
      </c>
      <c r="B37" s="43" t="n">
        <v>0.145</v>
      </c>
    </row>
    <row r="38">
      <c r="A38" s="15" t="inlineStr">
        <is>
          <t>Federal insurance fee</t>
        </is>
      </c>
      <c r="B38" s="42" t="n">
        <v>0.01</v>
      </c>
    </row>
    <row r="39">
      <c r="A39" s="7" t="inlineStr">
        <is>
          <t>Target loss ratio</t>
        </is>
      </c>
      <c r="B39" s="43" t="n">
        <v>0.65</v>
      </c>
    </row>
    <row r="40">
      <c r="A40" s="15" t="inlineStr">
        <is>
          <t>Escalation loss ratio</t>
        </is>
      </c>
      <c r="B40" s="42" t="n">
        <v>0.8</v>
      </c>
    </row>
    <row r="41">
      <c r="A41" s="7" t="inlineStr">
        <is>
          <t>Reporting date</t>
        </is>
      </c>
      <c r="B41" s="44" t="n">
        <v>45565</v>
      </c>
    </row>
    <row r="43">
      <c r="A43" s="9" t="inlineStr">
        <is>
          <t>Table D — Deliverables checklist</t>
        </is>
      </c>
    </row>
    <row r="44" ht="30" customHeight="1">
      <c r="A44" s="10" t="inlineStr">
        <is>
          <t>#</t>
        </is>
      </c>
      <c r="B44" s="10" t="inlineStr">
        <is>
          <t>Deliverable</t>
        </is>
      </c>
    </row>
    <row r="45">
      <c r="A45" s="43" t="n">
        <v>1</v>
      </c>
      <c r="B45" s="7" t="inlineStr">
        <is>
          <t>Clean transaction table (no manual edits, refreshable)</t>
        </is>
      </c>
    </row>
    <row r="46">
      <c r="A46" s="42" t="n">
        <v>2</v>
      </c>
      <c r="B46" s="15" t="inlineStr">
        <is>
          <t>Policy components split out: product, branch, year, serial</t>
        </is>
      </c>
    </row>
    <row r="47">
      <c r="A47" s="43" t="n">
        <v>3</v>
      </c>
      <c r="B47" s="7" t="inlineStr">
        <is>
          <t>Branch summary: GWP, claims, loss ratio, achievement vs target</t>
        </is>
      </c>
    </row>
    <row r="48">
      <c r="A48" s="42" t="n">
        <v>4</v>
      </c>
      <c r="B48" s="15" t="inlineStr">
        <is>
          <t>Exception list: policies with loss ratio above the escalation level</t>
        </is>
      </c>
    </row>
    <row r="49">
      <c r="A49" s="43" t="n">
        <v>5</v>
      </c>
      <c r="B49" s="7" t="inlineStr">
        <is>
          <t>One chart that states a message, not just data</t>
        </is>
      </c>
    </row>
    <row r="50">
      <c r="A50" s="42" t="n">
        <v>6</v>
      </c>
      <c r="B50" s="15" t="inlineStr">
        <is>
          <t>A refresh routine a colleague can follow</t>
        </is>
      </c>
    </row>
    <row r="51">
      <c r="A51" s="43" t="n">
        <v>7</v>
      </c>
      <c r="B51" s="7" t="inlineStr">
        <is>
          <t>Protected workbook with clearly marked input cells</t>
        </is>
      </c>
    </row>
    <row r="53">
      <c r="A53" s="18" t="inlineStr">
        <is>
          <t>Note: This is simulated training data modelled on Adamjee Assurance general insurance operations. It is not actual company data.</t>
        </is>
      </c>
    </row>
  </sheetData>
  <mergeCells count="2">
    <mergeCell ref="A2:F2"/>
    <mergeCell ref="A1:F1"/>
  </mergeCells>
  <pageMargins left="0.75" right="0.75" top="1" bottom="1" header="0.5" footer="0.5"/>
</worksheet>
</file>

<file path=xl/worksheets/sheet127.xml><?xml version="1.0" encoding="utf-8"?>
<worksheet xmlns="http://schemas.openxmlformats.org/spreadsheetml/2006/main">
  <sheetPr>
    <tabColor rgb="00C00000"/>
    <outlinePr summaryBelow="1" summaryRight="1"/>
    <pageSetUpPr/>
  </sheetPr>
  <dimension ref="A1:L33"/>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4" customHeight="1">
      <c r="A1" s="19" t="inlineStr">
        <is>
          <t>ADAMJEE ASSURANCE COMPANY LIMITED</t>
        </is>
      </c>
    </row>
    <row r="2" ht="19" customHeight="1">
      <c r="A2" s="20" t="inlineStr">
        <is>
          <t>Capstone: branch performance summary against target</t>
        </is>
      </c>
    </row>
    <row r="3">
      <c r="A3" s="21" t="inlineStr">
        <is>
          <t>Prepared for:</t>
        </is>
      </c>
      <c r="B3" s="22" t="inlineStr">
        <is>
          <t>Regional Head — South</t>
        </is>
      </c>
    </row>
    <row r="4">
      <c r="A4" s="21" t="inlineStr">
        <is>
          <t>Prepared by:</t>
        </is>
      </c>
      <c r="B4" s="23" t="n"/>
    </row>
    <row r="5">
      <c r="A5" s="21" t="inlineStr">
        <is>
          <t>Reporting date:</t>
        </is>
      </c>
      <c r="B5" s="22" t="inlineStr">
        <is>
          <t>As at reporting date shown on the dataset</t>
        </is>
      </c>
    </row>
    <row r="7" ht="44" customHeight="1">
      <c r="A7" s="24" t="inlineStr">
        <is>
          <t>The pack's core page: how each branch performed against its annual target, with the loss ratio alongside.</t>
        </is>
      </c>
    </row>
    <row r="9">
      <c r="A9" s="25" t="inlineStr">
        <is>
          <t>Source data: '4.15 Data'  (click to open)</t>
        </is>
      </c>
    </row>
    <row r="11" ht="16" customHeight="1">
      <c r="A11" s="26" t="inlineStr">
        <is>
          <t>Navy headers below = data linked live from the dataset sheet.   Gold headers = blank — build your formula here.</t>
        </is>
      </c>
    </row>
    <row r="12" ht="30" customHeight="1">
      <c r="A12" s="10" t="inlineStr">
        <is>
          <t>Branch</t>
        </is>
      </c>
      <c r="B12" s="10" t="inlineStr">
        <is>
          <t>Region</t>
        </is>
      </c>
      <c r="C12" s="10" t="inlineStr">
        <is>
          <t>Manager</t>
        </is>
      </c>
      <c r="D12" s="27" t="inlineStr">
        <is>
          <t>GWP</t>
        </is>
      </c>
      <c r="E12" s="27" t="inlineStr">
        <is>
          <t>Claims</t>
        </is>
      </c>
      <c r="F12" s="27" t="inlineStr">
        <is>
          <t>Loss Ratio</t>
        </is>
      </c>
      <c r="G12" s="10" t="inlineStr">
        <is>
          <t>Annual Target</t>
        </is>
      </c>
      <c r="H12" s="27" t="inlineStr">
        <is>
          <t>Achievement %</t>
        </is>
      </c>
      <c r="I12" s="27" t="inlineStr">
        <is>
          <t>Status against the 65% target ratio</t>
        </is>
      </c>
    </row>
    <row r="13">
      <c r="A13" s="7">
        <f>'4.15 Data'!A24</f>
        <v/>
      </c>
      <c r="B13" s="7">
        <f>'4.15 Data'!C24</f>
        <v/>
      </c>
      <c r="C13" s="7">
        <f>'4.15 Data'!E24</f>
        <v/>
      </c>
      <c r="D13" s="28" t="n"/>
      <c r="E13" s="28" t="n"/>
      <c r="F13" s="28" t="n"/>
      <c r="G13" s="11">
        <f>'4.15 Data'!D24</f>
        <v/>
      </c>
      <c r="H13" s="28" t="n"/>
      <c r="I13" s="28" t="n"/>
    </row>
    <row r="14">
      <c r="A14" s="15">
        <f>'4.15 Data'!A25</f>
        <v/>
      </c>
      <c r="B14" s="15">
        <f>'4.15 Data'!C25</f>
        <v/>
      </c>
      <c r="C14" s="15">
        <f>'4.15 Data'!E25</f>
        <v/>
      </c>
      <c r="D14" s="28" t="n"/>
      <c r="E14" s="28" t="n"/>
      <c r="F14" s="28" t="n"/>
      <c r="G14" s="14">
        <f>'4.15 Data'!D25</f>
        <v/>
      </c>
      <c r="H14" s="28" t="n"/>
      <c r="I14" s="28" t="n"/>
    </row>
    <row r="15">
      <c r="A15" s="7">
        <f>'4.15 Data'!A26</f>
        <v/>
      </c>
      <c r="B15" s="7">
        <f>'4.15 Data'!C26</f>
        <v/>
      </c>
      <c r="C15" s="7">
        <f>'4.15 Data'!E26</f>
        <v/>
      </c>
      <c r="D15" s="28" t="n"/>
      <c r="E15" s="28" t="n"/>
      <c r="F15" s="28" t="n"/>
      <c r="G15" s="11">
        <f>'4.15 Data'!D26</f>
        <v/>
      </c>
      <c r="H15" s="28" t="n"/>
      <c r="I15" s="28" t="n"/>
    </row>
    <row r="16">
      <c r="A16" s="15">
        <f>'4.15 Data'!A27</f>
        <v/>
      </c>
      <c r="B16" s="15">
        <f>'4.15 Data'!C27</f>
        <v/>
      </c>
      <c r="C16" s="15">
        <f>'4.15 Data'!E27</f>
        <v/>
      </c>
      <c r="D16" s="28" t="n"/>
      <c r="E16" s="28" t="n"/>
      <c r="F16" s="28" t="n"/>
      <c r="G16" s="14">
        <f>'4.15 Data'!D27</f>
        <v/>
      </c>
      <c r="H16" s="28" t="n"/>
      <c r="I16" s="28" t="n"/>
    </row>
    <row r="17">
      <c r="A17" s="7">
        <f>'4.15 Data'!A28</f>
        <v/>
      </c>
      <c r="B17" s="7">
        <f>'4.15 Data'!C28</f>
        <v/>
      </c>
      <c r="C17" s="7">
        <f>'4.15 Data'!E28</f>
        <v/>
      </c>
      <c r="D17" s="28" t="n"/>
      <c r="E17" s="28" t="n"/>
      <c r="F17" s="28" t="n"/>
      <c r="G17" s="11">
        <f>'4.15 Data'!D28</f>
        <v/>
      </c>
      <c r="H17" s="28" t="n"/>
      <c r="I17" s="28" t="n"/>
    </row>
    <row r="18">
      <c r="A18" s="15">
        <f>'4.15 Data'!A29</f>
        <v/>
      </c>
      <c r="B18" s="15">
        <f>'4.15 Data'!C29</f>
        <v/>
      </c>
      <c r="C18" s="15">
        <f>'4.15 Data'!E29</f>
        <v/>
      </c>
      <c r="D18" s="28" t="n"/>
      <c r="E18" s="28" t="n"/>
      <c r="F18" s="28" t="n"/>
      <c r="G18" s="14">
        <f>'4.15 Data'!D29</f>
        <v/>
      </c>
      <c r="H18" s="28" t="n"/>
      <c r="I18" s="28" t="n"/>
    </row>
    <row r="19">
      <c r="A19" s="7">
        <f>'4.15 Data'!A30</f>
        <v/>
      </c>
      <c r="B19" s="7">
        <f>'4.15 Data'!C30</f>
        <v/>
      </c>
      <c r="C19" s="7">
        <f>'4.15 Data'!E30</f>
        <v/>
      </c>
      <c r="D19" s="28" t="n"/>
      <c r="E19" s="28" t="n"/>
      <c r="F19" s="28" t="n"/>
      <c r="G19" s="11">
        <f>'4.15 Data'!D30</f>
        <v/>
      </c>
      <c r="H19" s="28" t="n"/>
      <c r="I19" s="28" t="n"/>
    </row>
    <row r="20">
      <c r="A20" s="15">
        <f>'4.15 Data'!A31</f>
        <v/>
      </c>
      <c r="B20" s="15">
        <f>'4.15 Data'!C31</f>
        <v/>
      </c>
      <c r="C20" s="15">
        <f>'4.15 Data'!E31</f>
        <v/>
      </c>
      <c r="D20" s="28" t="n"/>
      <c r="E20" s="28" t="n"/>
      <c r="F20" s="28" t="n"/>
      <c r="G20" s="14">
        <f>'4.15 Data'!D31</f>
        <v/>
      </c>
      <c r="H20" s="28" t="n"/>
      <c r="I20" s="28" t="n"/>
    </row>
    <row r="21">
      <c r="A21" s="7">
        <f>'4.15 Data'!A32</f>
        <v/>
      </c>
      <c r="B21" s="7">
        <f>'4.15 Data'!C32</f>
        <v/>
      </c>
      <c r="C21" s="7">
        <f>'4.15 Data'!E32</f>
        <v/>
      </c>
      <c r="D21" s="28" t="n"/>
      <c r="E21" s="28" t="n"/>
      <c r="F21" s="28" t="n"/>
      <c r="G21" s="11">
        <f>'4.15 Data'!D32</f>
        <v/>
      </c>
      <c r="H21" s="28" t="n"/>
      <c r="I21" s="28" t="n"/>
    </row>
    <row r="22">
      <c r="A22" s="15">
        <f>'4.15 Data'!A33</f>
        <v/>
      </c>
      <c r="B22" s="15">
        <f>'4.15 Data'!C33</f>
        <v/>
      </c>
      <c r="C22" s="15">
        <f>'4.15 Data'!E33</f>
        <v/>
      </c>
      <c r="D22" s="28" t="n"/>
      <c r="E22" s="28" t="n"/>
      <c r="F22" s="28" t="n"/>
      <c r="G22" s="14">
        <f>'4.15 Data'!D33</f>
        <v/>
      </c>
      <c r="H22" s="28" t="n"/>
      <c r="I22" s="28" t="n"/>
    </row>
    <row r="23">
      <c r="A23" s="29" t="inlineStr">
        <is>
          <t>TOTAL / RESULT</t>
        </is>
      </c>
      <c r="B23" s="30" t="n"/>
      <c r="C23" s="30" t="n"/>
      <c r="D23" s="31" t="n"/>
      <c r="E23" s="31" t="n"/>
      <c r="F23" s="31" t="n"/>
      <c r="G23" s="30" t="n"/>
      <c r="H23" s="31" t="n"/>
      <c r="I23" s="31" t="n"/>
    </row>
    <row r="25" ht="32" customHeight="1">
      <c r="A25" s="32" t="inlineStr">
        <is>
          <t>HOW TO WORK: navy-header columns are linked live from the dataset sheet — click any cell to see the formula. Gold-header columns are blank and shaded yellow — build the required formula there and copy it down every row, then complete the TOTAL / RESULT row at the foot.</t>
        </is>
      </c>
    </row>
    <row r="27" ht="19" customHeight="1">
      <c r="A27" s="33" t="inlineStr">
        <is>
          <t>FURTHER REQUESTS ON THIS DATASET</t>
        </is>
      </c>
    </row>
    <row r="28" ht="20" customHeight="1">
      <c r="A28" s="34" t="inlineStr">
        <is>
          <t>#</t>
        </is>
      </c>
      <c r="B28" s="34" t="inlineStr">
        <is>
          <t>Request</t>
        </is>
      </c>
      <c r="C28" s="34" t="inlineStr">
        <is>
          <t>Requested by</t>
        </is>
      </c>
      <c r="D28" s="34" t="inlineStr">
        <is>
          <t>Report / figure required</t>
        </is>
      </c>
      <c r="E28" s="34" t="inlineStr">
        <is>
          <t>Your formula or answer</t>
        </is>
      </c>
    </row>
    <row r="29" ht="65" customHeight="1">
      <c r="A29" s="35" t="n">
        <v>1</v>
      </c>
      <c r="B29" s="36" t="inlineStr">
        <is>
          <t>Capstone: build the cleaned transaction table</t>
        </is>
      </c>
      <c r="C29" s="37" t="inlineStr">
        <is>
          <t>Regional Head — South</t>
        </is>
      </c>
      <c r="D29" s="38" t="inlineStr">
        <is>
          <t>A clean, refreshable transaction table with every field correctly typed, plus a note naming the tool you chose — Power Query or text formulas — and defending the choice in one line.</t>
        </is>
      </c>
      <c r="E29" s="39" t="n"/>
    </row>
    <row r="30" ht="65" customHeight="1">
      <c r="A30" s="35" t="n">
        <v>2</v>
      </c>
      <c r="B30" s="36" t="inlineStr">
        <is>
          <t>Capstone: data quality exception report</t>
        </is>
      </c>
      <c r="C30" s="37" t="inlineStr">
        <is>
          <t>Head of Internal Audit</t>
        </is>
      </c>
      <c r="D30" s="38" t="inlineStr">
        <is>
          <t>An exception report identifying the corrupted GWP value and any other row that failed type conversion, showing the value as received, the value used, and how the defect was detected.</t>
        </is>
      </c>
      <c r="E30" s="39" t="n"/>
    </row>
    <row r="31" ht="65" customHeight="1">
      <c r="A31" s="35" t="n">
        <v>3</v>
      </c>
      <c r="B31" s="36" t="inlineStr">
        <is>
          <t>Capstone: escalation list and policy ageing</t>
        </is>
      </c>
      <c r="C31" s="37" t="inlineStr">
        <is>
          <t>Chief Underwriting Officer</t>
        </is>
      </c>
      <c r="D31" s="38" t="inlineStr">
        <is>
          <t>An escalation list of policies above the escalation level with premium at risk totalled, plus an ageing analysis bucketing every policy by days since booking as at the reporting date.</t>
        </is>
      </c>
      <c r="E31" s="39" t="n"/>
    </row>
    <row r="32" ht="39" customHeight="1">
      <c r="A32" s="35" t="n">
        <v>4</v>
      </c>
      <c r="B32" s="36" t="inlineStr">
        <is>
          <t>Capstone: the chart and its sentence</t>
        </is>
      </c>
      <c r="C32" s="37" t="inlineStr">
        <is>
          <t>Regional Head — South</t>
        </is>
      </c>
      <c r="D32" s="38" t="inlineStr">
        <is>
          <t>One chart formatted to the board standard, and the single sentence of commentary it supports, written out in full.</t>
        </is>
      </c>
      <c r="E32" s="39" t="n"/>
    </row>
    <row r="33" ht="91" customHeight="1">
      <c r="A33" s="35" t="n">
        <v>5</v>
      </c>
      <c r="B33" s="36" t="inlineStr">
        <is>
          <t>Capstone: hand the pack over</t>
        </is>
      </c>
      <c r="C33" s="37" t="inlineStr">
        <is>
          <t>Head of Management Reporting</t>
        </is>
      </c>
      <c r="D33" s="38" t="inlineStr">
        <is>
          <t>The finished workbook protected with input cells marked and passwords documented, a five-step monthly refresh routine, and the three techniques from today you will use first when you return to your desk, each with the manual process it replaces.</t>
        </is>
      </c>
      <c r="E33" s="39" t="n"/>
    </row>
  </sheetData>
  <mergeCells count="6">
    <mergeCell ref="A2:L2"/>
    <mergeCell ref="A25:I25"/>
    <mergeCell ref="A11:I11"/>
    <mergeCell ref="A7:K7"/>
    <mergeCell ref="A1:L1"/>
    <mergeCell ref="A27:F27"/>
  </mergeCells>
  <hyperlinks>
    <hyperlink xmlns:r="http://schemas.openxmlformats.org/officeDocument/2006/relationships" ref="A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2026-09-21T06:59:44Z</dcterms:created>
  <dcterms:modified xmlns:dcterms="http://purl.org/dc/terms/" xmlns:xsi="http://www.w3.org/2001/XMLSchema-instance" xsi:type="dcterms:W3CDTF">2026-09-21T06:59:45Z</dcterms:modified>
</cp:coreProperties>
</file>