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_Trend_Wide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Monthly_Sales_Combo" sheetId="3" state="visible" r:id="rId3"/>
    <sheet xmlns:r="http://schemas.openxmlformats.org/officeDocument/2006/relationships" name="Waterfall_Bridge" sheetId="4" state="visible" r:id="rId4"/>
    <sheet xmlns:r="http://schemas.openxmlformats.org/officeDocument/2006/relationships" name="Summary_Dynamic" sheetId="5" state="visible" r:id="rId5"/>
    <sheet xmlns:r="http://schemas.openxmlformats.org/officeDocument/2006/relationships" name="Wide_Trend_for_Offset" sheetId="6" state="visible" r:id="rId6"/>
    <sheet xmlns:r="http://schemas.openxmlformats.org/officeDocument/2006/relationships" name="Branch_Summary" sheetId="7" state="visible" r:id="rId7"/>
    <sheet xmlns:r="http://schemas.openxmlformats.org/officeDocument/2006/relationships" name="Premium_Calc" sheetId="8" state="visible" r:id="rId8"/>
    <sheet xmlns:r="http://schemas.openxmlformats.org/officeDocument/2006/relationships" name="Sales_Vertical" sheetId="9" state="visible" r:id="rId9"/>
    <sheet xmlns:r="http://schemas.openxmlformats.org/officeDocument/2006/relationships" name="Persistency_Summary" sheetId="10" state="visible" r:id="rId10"/>
    <sheet xmlns:r="http://schemas.openxmlformats.org/officeDocument/2006/relationships" name="Claims_Monthly" sheetId="11" state="visible" r:id="rId11"/>
    <sheet xmlns:r="http://schemas.openxmlformats.org/officeDocument/2006/relationships" name="Models_WhatIf" sheetId="12" state="visible" r:id="rId12"/>
  </sheets>
  <definedNames>
    <definedName name="_xlnm._FilterDatabase" localSheetId="0" hidden="1">'Branch_Trend_Wide'!$A$1:$N$17</definedName>
    <definedName name="_xlnm._FilterDatabase" localSheetId="2" hidden="1">'Monthly_Sales_Combo'!$A$1:$D$13</definedName>
    <definedName name="_xlnm._FilterDatabase" localSheetId="3" hidden="1">'Waterfall_Bridge'!$A$1:$C$7</definedName>
    <definedName name="_xlnm._FilterDatabase" localSheetId="4" hidden="1">'Summary_Dynamic'!$A$1:$B$13</definedName>
    <definedName name="_xlnm._FilterDatabase" localSheetId="5" hidden="1">'Wide_Trend_for_Offset'!$A$1:$M$13</definedName>
    <definedName name="_xlnm._FilterDatabase" localSheetId="6" hidden="1">'Branch_Summary'!$A$1:$D$18</definedName>
    <definedName name="_xlnm._FilterDatabase" localSheetId="7" hidden="1">'Premium_Calc'!$A$1:$C$51</definedName>
    <definedName name="_xlnm._FilterDatabase" localSheetId="8" hidden="1">'Sales_Vertical'!$A$1:$C$6</definedName>
    <definedName name="_xlnm._FilterDatabase" localSheetId="9" hidden="1">'Persistency_Summary'!$A$1:$C$5</definedName>
    <definedName name="_xlnm._FilterDatabase" localSheetId="10" hidden="1">'Claims_Monthly'!$A$1:$B$13</definedName>
    <definedName name="_xlnm._FilterDatabase" localSheetId="11" hidden="1">'Models_WhatIf'!$A$1:$E$9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7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7A6B"/>
    <outlinePr summaryBelow="1" summaryRight="1"/>
    <pageSetUpPr fitToPage="1"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Summary_Sources — Adamjee Life Assurance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Dummy data — For training only. Structure mirrors Adamjee Life core extracts; names/CNICs/policy numbers are synthetic.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4" t="inlineStr">
        <is>
          <t>• Wide and summary tables for charts, sparklines, waterfall, dynamic charts, consolidations.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t="inlineStr">
        <is>
          <t>Branch</t>
        </is>
      </c>
      <c r="B5" s="3" t="inlineStr">
        <is>
          <t>Jan</t>
        </is>
      </c>
      <c r="C5" s="3" t="inlineStr">
        <is>
          <t>Feb</t>
        </is>
      </c>
      <c r="D5" s="3" t="inlineStr">
        <is>
          <t>Mar</t>
        </is>
      </c>
      <c r="E5" s="3" t="inlineStr">
        <is>
          <t>Apr</t>
        </is>
      </c>
      <c r="F5" s="3" t="inlineStr">
        <is>
          <t>May</t>
        </is>
      </c>
      <c r="G5" s="3" t="inlineStr">
        <is>
          <t>Jun</t>
        </is>
      </c>
      <c r="H5" s="3" t="inlineStr">
        <is>
          <t>Jul</t>
        </is>
      </c>
      <c r="I5" s="3" t="inlineStr">
        <is>
          <t>Aug</t>
        </is>
      </c>
      <c r="J5" s="3" t="inlineStr">
        <is>
          <t>Sep</t>
        </is>
      </c>
      <c r="K5" s="3" t="inlineStr">
        <is>
          <t>Oct</t>
        </is>
      </c>
      <c r="L5" s="3" t="inlineStr">
        <is>
          <t>Nov</t>
        </is>
      </c>
      <c r="M5" s="3" t="inlineStr">
        <is>
          <t>Dec</t>
        </is>
      </c>
      <c r="N5" s="3" t="inlineStr">
        <is>
          <t>Total</t>
        </is>
      </c>
    </row>
    <row r="6">
      <c r="A6" t="inlineStr">
        <is>
          <t>KHI-01</t>
        </is>
      </c>
      <c r="B6" s="3" t="n">
        <v>5005975</v>
      </c>
      <c r="C6" s="3" t="n">
        <v>2373302</v>
      </c>
      <c r="D6" s="3" t="n">
        <v>5335063</v>
      </c>
      <c r="E6" s="3" t="n">
        <v>5332250</v>
      </c>
      <c r="F6" s="3" t="n">
        <v>2959556</v>
      </c>
      <c r="G6" s="3" t="n">
        <v>2009507</v>
      </c>
      <c r="H6" s="3" t="n">
        <v>6778044</v>
      </c>
      <c r="I6" s="3" t="n">
        <v>6844860</v>
      </c>
      <c r="J6" s="3" t="n">
        <v>1698762</v>
      </c>
      <c r="K6" s="3" t="n">
        <v>2896179</v>
      </c>
      <c r="L6" s="3" t="n">
        <v>3404417</v>
      </c>
      <c r="M6" s="3" t="n">
        <v>2438976</v>
      </c>
      <c r="N6" s="3" t="n">
        <v>47076891</v>
      </c>
    </row>
    <row r="7">
      <c r="A7" t="inlineStr">
        <is>
          <t>KHI-02</t>
        </is>
      </c>
      <c r="B7" s="3" t="n">
        <v>6681334</v>
      </c>
      <c r="C7" s="3" t="n">
        <v>3479047</v>
      </c>
      <c r="D7" s="3" t="n">
        <v>6568033</v>
      </c>
      <c r="E7" s="3" t="n">
        <v>1879744</v>
      </c>
      <c r="F7" s="3" t="n">
        <v>2850765</v>
      </c>
      <c r="G7" s="3" t="n">
        <v>1917677</v>
      </c>
      <c r="H7" s="3" t="n">
        <v>1683869</v>
      </c>
      <c r="I7" s="3" t="n">
        <v>2263274</v>
      </c>
      <c r="J7" s="3" t="n">
        <v>3834982</v>
      </c>
      <c r="K7" s="3" t="n">
        <v>4153353</v>
      </c>
      <c r="L7" s="3" t="n">
        <v>1762803</v>
      </c>
      <c r="M7" s="3" t="n">
        <v>2151734</v>
      </c>
      <c r="N7" s="3" t="n">
        <v>39226615</v>
      </c>
    </row>
    <row r="8">
      <c r="A8" t="inlineStr">
        <is>
          <t>LHR-01</t>
        </is>
      </c>
      <c r="B8" s="3" t="n">
        <v>5129651</v>
      </c>
      <c r="C8" s="3" t="n">
        <v>2636078</v>
      </c>
      <c r="D8" s="3" t="n">
        <v>3868124</v>
      </c>
      <c r="E8" s="3" t="n">
        <v>3992352</v>
      </c>
      <c r="F8" s="3" t="n">
        <v>4086173</v>
      </c>
      <c r="G8" s="3" t="n">
        <v>1500889</v>
      </c>
      <c r="H8" s="3" t="n">
        <v>1725140</v>
      </c>
      <c r="I8" s="3" t="n">
        <v>6678035</v>
      </c>
      <c r="J8" s="3" t="n">
        <v>1766096</v>
      </c>
      <c r="K8" s="3" t="n">
        <v>3412462</v>
      </c>
      <c r="L8" s="3" t="n">
        <v>5424874</v>
      </c>
      <c r="M8" s="3" t="n">
        <v>2572879</v>
      </c>
      <c r="N8" s="3" t="n">
        <v>42792753</v>
      </c>
    </row>
    <row r="9">
      <c r="A9" t="inlineStr">
        <is>
          <t>LHR-02</t>
        </is>
      </c>
      <c r="B9" s="3" t="n">
        <v>2590499</v>
      </c>
      <c r="C9" s="3" t="n">
        <v>4043788</v>
      </c>
      <c r="D9" s="3" t="n">
        <v>5345053</v>
      </c>
      <c r="E9" s="3" t="n">
        <v>2852297</v>
      </c>
      <c r="F9" s="3" t="n">
        <v>4037774</v>
      </c>
      <c r="G9" s="3" t="n">
        <v>2760896</v>
      </c>
      <c r="H9" s="3" t="n">
        <v>4045839</v>
      </c>
      <c r="I9" s="3" t="n">
        <v>3382999</v>
      </c>
      <c r="J9" s="3" t="n">
        <v>1947435</v>
      </c>
      <c r="K9" s="3" t="n">
        <v>4453621</v>
      </c>
      <c r="L9" s="3" t="n">
        <v>4855860</v>
      </c>
      <c r="M9" s="3" t="n">
        <v>6420438</v>
      </c>
      <c r="N9" s="3" t="n">
        <v>46736499</v>
      </c>
    </row>
    <row r="10">
      <c r="A10" t="inlineStr">
        <is>
          <t>ISL-01</t>
        </is>
      </c>
      <c r="B10" s="3" t="n">
        <v>4999852</v>
      </c>
      <c r="C10" s="3" t="n">
        <v>1665433</v>
      </c>
      <c r="D10" s="3" t="n">
        <v>4174033</v>
      </c>
      <c r="E10" s="3" t="n">
        <v>6916415</v>
      </c>
      <c r="F10" s="3" t="n">
        <v>6015600</v>
      </c>
      <c r="G10" s="3" t="n">
        <v>2018386</v>
      </c>
      <c r="H10" s="3" t="n">
        <v>6210065</v>
      </c>
      <c r="I10" s="3" t="n">
        <v>2695930</v>
      </c>
      <c r="J10" s="3" t="n">
        <v>3192411</v>
      </c>
      <c r="K10" s="3" t="n">
        <v>1990139</v>
      </c>
      <c r="L10" s="3" t="n">
        <v>1743605</v>
      </c>
      <c r="M10" s="3" t="n">
        <v>4842565</v>
      </c>
      <c r="N10" s="3" t="n">
        <v>46464434</v>
      </c>
    </row>
    <row r="11">
      <c r="A11" t="inlineStr">
        <is>
          <t>ISL-02</t>
        </is>
      </c>
      <c r="B11" s="3" t="n">
        <v>5403565</v>
      </c>
      <c r="C11" s="3" t="n">
        <v>6267410</v>
      </c>
      <c r="D11" s="3" t="n">
        <v>6554077</v>
      </c>
      <c r="E11" s="3" t="n">
        <v>2948979</v>
      </c>
      <c r="F11" s="3" t="n">
        <v>5716314</v>
      </c>
      <c r="G11" s="3" t="n">
        <v>3892585</v>
      </c>
      <c r="H11" s="3" t="n">
        <v>4794703</v>
      </c>
      <c r="I11" s="3" t="n">
        <v>3182199</v>
      </c>
      <c r="J11" s="3" t="n">
        <v>6360140</v>
      </c>
      <c r="K11" s="3" t="n">
        <v>4272393</v>
      </c>
      <c r="L11" s="3" t="n">
        <v>4323363</v>
      </c>
      <c r="M11" s="3" t="n">
        <v>4364874</v>
      </c>
      <c r="N11" s="3" t="n">
        <v>58080602</v>
      </c>
    </row>
    <row r="12">
      <c r="A12" t="inlineStr">
        <is>
          <t>MTN-01</t>
        </is>
      </c>
      <c r="B12" s="3" t="n">
        <v>4709245</v>
      </c>
      <c r="C12" s="3" t="n">
        <v>3624198</v>
      </c>
      <c r="D12" s="3" t="n">
        <v>2945285</v>
      </c>
      <c r="E12" s="3" t="n">
        <v>2716175</v>
      </c>
      <c r="F12" s="3" t="n">
        <v>4780973</v>
      </c>
      <c r="G12" s="3" t="n">
        <v>1511597</v>
      </c>
      <c r="H12" s="3" t="n">
        <v>5966038</v>
      </c>
      <c r="I12" s="3" t="n">
        <v>2463731</v>
      </c>
      <c r="J12" s="3" t="n">
        <v>5252925</v>
      </c>
      <c r="K12" s="3" t="n">
        <v>4612071</v>
      </c>
      <c r="L12" s="3" t="n">
        <v>6542338</v>
      </c>
      <c r="M12" s="3" t="n">
        <v>5374731</v>
      </c>
      <c r="N12" s="3" t="n">
        <v>50499307</v>
      </c>
    </row>
    <row r="13">
      <c r="A13" t="inlineStr">
        <is>
          <t>GRW-01</t>
        </is>
      </c>
      <c r="B13" s="3" t="n">
        <v>1531151</v>
      </c>
      <c r="C13" s="3" t="n">
        <v>2482813</v>
      </c>
      <c r="D13" s="3" t="n">
        <v>2272304</v>
      </c>
      <c r="E13" s="3" t="n">
        <v>6301651</v>
      </c>
      <c r="F13" s="3" t="n">
        <v>1534506</v>
      </c>
      <c r="G13" s="3" t="n">
        <v>5738919</v>
      </c>
      <c r="H13" s="3" t="n">
        <v>1853525</v>
      </c>
      <c r="I13" s="3" t="n">
        <v>3850585</v>
      </c>
      <c r="J13" s="3" t="n">
        <v>5335839</v>
      </c>
      <c r="K13" s="3" t="n">
        <v>6532128</v>
      </c>
      <c r="L13" s="3" t="n">
        <v>4008331</v>
      </c>
      <c r="M13" s="3" t="n">
        <v>6370680</v>
      </c>
      <c r="N13" s="3" t="n">
        <v>47812432</v>
      </c>
    </row>
    <row r="14">
      <c r="A14" t="inlineStr">
        <is>
          <t>QTA-01</t>
        </is>
      </c>
      <c r="B14" s="3" t="n">
        <v>6885041</v>
      </c>
      <c r="C14" s="3" t="n">
        <v>1866394</v>
      </c>
      <c r="D14" s="3" t="n">
        <v>4477940</v>
      </c>
      <c r="E14" s="3" t="n">
        <v>2231147</v>
      </c>
      <c r="F14" s="3" t="n">
        <v>4626795</v>
      </c>
      <c r="G14" s="3" t="n">
        <v>5864552</v>
      </c>
      <c r="H14" s="3" t="n">
        <v>3867663</v>
      </c>
      <c r="I14" s="3" t="n">
        <v>5837262</v>
      </c>
      <c r="J14" s="3" t="n">
        <v>5885462</v>
      </c>
      <c r="K14" s="3" t="n">
        <v>5755222</v>
      </c>
      <c r="L14" s="3" t="n">
        <v>2590345</v>
      </c>
      <c r="M14" s="3" t="n">
        <v>4628682</v>
      </c>
      <c r="N14" s="3" t="n">
        <v>54516505</v>
      </c>
    </row>
    <row r="15">
      <c r="A15" t="inlineStr">
        <is>
          <t>PES-01</t>
        </is>
      </c>
      <c r="B15" s="3" t="n">
        <v>5749446</v>
      </c>
      <c r="C15" s="3" t="n">
        <v>2077923</v>
      </c>
      <c r="D15" s="3" t="n">
        <v>3051383</v>
      </c>
      <c r="E15" s="3" t="n">
        <v>1980598</v>
      </c>
      <c r="F15" s="3" t="n">
        <v>6960506</v>
      </c>
      <c r="G15" s="3" t="n">
        <v>6989216</v>
      </c>
      <c r="H15" s="3" t="n">
        <v>3065201</v>
      </c>
      <c r="I15" s="3" t="n">
        <v>5419452</v>
      </c>
      <c r="J15" s="3" t="n">
        <v>2873566</v>
      </c>
      <c r="K15" s="3" t="n">
        <v>4243634</v>
      </c>
      <c r="L15" s="3" t="n">
        <v>5753126</v>
      </c>
      <c r="M15" s="3" t="n">
        <v>2526061</v>
      </c>
      <c r="N15" s="3" t="n">
        <v>50690112</v>
      </c>
    </row>
    <row r="16">
      <c r="A16" t="inlineStr">
        <is>
          <t>BWP-01</t>
        </is>
      </c>
      <c r="B16" s="3" t="n">
        <v>6901948</v>
      </c>
      <c r="C16" s="3" t="n">
        <v>2110235</v>
      </c>
      <c r="D16" s="3" t="n">
        <v>3819113</v>
      </c>
      <c r="E16" s="3" t="n">
        <v>2389187</v>
      </c>
      <c r="F16" s="3" t="n">
        <v>5105433</v>
      </c>
      <c r="G16" s="3" t="n">
        <v>5814920</v>
      </c>
      <c r="H16" s="3" t="n">
        <v>6250317</v>
      </c>
      <c r="I16" s="3" t="n">
        <v>4351874</v>
      </c>
      <c r="J16" s="3" t="n">
        <v>1811666</v>
      </c>
      <c r="K16" s="3" t="n">
        <v>4883031</v>
      </c>
      <c r="L16" s="3" t="n">
        <v>4435789</v>
      </c>
      <c r="M16" s="3" t="n">
        <v>5214176</v>
      </c>
      <c r="N16" s="3" t="n">
        <v>53087689</v>
      </c>
    </row>
    <row r="17">
      <c r="A17" t="inlineStr">
        <is>
          <t>GJR-01</t>
        </is>
      </c>
      <c r="B17" s="3" t="n">
        <v>3089488</v>
      </c>
      <c r="C17" s="3" t="n">
        <v>2403980</v>
      </c>
      <c r="D17" s="3" t="n">
        <v>3425779</v>
      </c>
      <c r="E17" s="3" t="n">
        <v>2956208</v>
      </c>
      <c r="F17" s="3" t="n">
        <v>6011870</v>
      </c>
      <c r="G17" s="3" t="n">
        <v>4350395</v>
      </c>
      <c r="H17" s="3" t="n">
        <v>2242340</v>
      </c>
      <c r="I17" s="3" t="n">
        <v>4259019</v>
      </c>
      <c r="J17" s="3" t="n">
        <v>4644035</v>
      </c>
      <c r="K17" s="3" t="n">
        <v>2660789</v>
      </c>
      <c r="L17" s="3" t="n">
        <v>6233326</v>
      </c>
      <c r="M17" s="3" t="n">
        <v>5404220</v>
      </c>
      <c r="N17" s="3" t="n">
        <v>47681449</v>
      </c>
    </row>
  </sheetData>
  <autoFilter ref="A1:N17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Month</t>
        </is>
      </c>
      <c r="B1" s="1" t="inlineStr">
        <is>
          <t>MonthNum</t>
        </is>
      </c>
      <c r="C1" s="1" t="inlineStr">
        <is>
          <t>NOP</t>
        </is>
      </c>
      <c r="D1" s="1" t="inlineStr">
        <is>
          <t>APE</t>
        </is>
      </c>
    </row>
    <row r="2">
      <c r="A2" t="inlineStr">
        <is>
          <t>Jan</t>
        </is>
      </c>
      <c r="B2" t="n">
        <v>1</v>
      </c>
      <c r="C2" t="n">
        <v>347</v>
      </c>
      <c r="D2" s="3" t="n">
        <v>53000413</v>
      </c>
    </row>
    <row r="3">
      <c r="A3" t="inlineStr">
        <is>
          <t>Feb</t>
        </is>
      </c>
      <c r="B3" t="n">
        <v>2</v>
      </c>
      <c r="C3" t="n">
        <v>313</v>
      </c>
      <c r="D3" s="3" t="n">
        <v>49460716</v>
      </c>
    </row>
    <row r="4">
      <c r="A4" t="inlineStr">
        <is>
          <t>Mar</t>
        </is>
      </c>
      <c r="B4" t="n">
        <v>3</v>
      </c>
      <c r="C4" t="n">
        <v>380</v>
      </c>
      <c r="D4" s="3" t="n">
        <v>45795961</v>
      </c>
    </row>
    <row r="5">
      <c r="A5" t="inlineStr">
        <is>
          <t>Apr</t>
        </is>
      </c>
      <c r="B5" t="n">
        <v>4</v>
      </c>
      <c r="C5" t="n">
        <v>401</v>
      </c>
      <c r="D5" s="3" t="n">
        <v>47709314</v>
      </c>
    </row>
    <row r="6">
      <c r="A6" t="inlineStr">
        <is>
          <t>May</t>
        </is>
      </c>
      <c r="B6" t="n">
        <v>5</v>
      </c>
      <c r="C6" t="n">
        <v>309</v>
      </c>
      <c r="D6" s="3" t="n">
        <v>53621219</v>
      </c>
    </row>
    <row r="7">
      <c r="A7" t="inlineStr">
        <is>
          <t>Jun</t>
        </is>
      </c>
      <c r="B7" t="n">
        <v>6</v>
      </c>
      <c r="C7" t="n">
        <v>434</v>
      </c>
      <c r="D7" s="3" t="n">
        <v>61239219</v>
      </c>
    </row>
    <row r="8">
      <c r="A8" t="inlineStr">
        <is>
          <t>Jul</t>
        </is>
      </c>
      <c r="B8" t="n">
        <v>7</v>
      </c>
      <c r="C8" t="n">
        <v>291</v>
      </c>
      <c r="D8" s="3" t="n">
        <v>37828665</v>
      </c>
    </row>
    <row r="9">
      <c r="A9" t="inlineStr">
        <is>
          <t>Aug</t>
        </is>
      </c>
      <c r="B9" t="n">
        <v>8</v>
      </c>
      <c r="C9" t="n">
        <v>329</v>
      </c>
      <c r="D9" s="3" t="n">
        <v>38314509</v>
      </c>
    </row>
    <row r="10">
      <c r="A10" t="inlineStr">
        <is>
          <t>Sep</t>
        </is>
      </c>
      <c r="B10" t="n">
        <v>9</v>
      </c>
      <c r="C10" t="n">
        <v>496</v>
      </c>
      <c r="D10" s="3" t="n">
        <v>61656202</v>
      </c>
    </row>
    <row r="11">
      <c r="A11" t="inlineStr">
        <is>
          <t>Oct</t>
        </is>
      </c>
      <c r="B11" t="n">
        <v>10</v>
      </c>
      <c r="C11" t="n">
        <v>460</v>
      </c>
      <c r="D11" s="3" t="n">
        <v>44708805</v>
      </c>
    </row>
    <row r="12">
      <c r="A12" t="inlineStr">
        <is>
          <t>Nov</t>
        </is>
      </c>
      <c r="B12" t="n">
        <v>11</v>
      </c>
      <c r="C12" t="n">
        <v>423</v>
      </c>
      <c r="D12" s="3" t="n">
        <v>36997310</v>
      </c>
    </row>
    <row r="13">
      <c r="A13" t="inlineStr">
        <is>
          <t>Dec</t>
        </is>
      </c>
      <c r="B13" t="n">
        <v>12</v>
      </c>
      <c r="C13" t="n">
        <v>421</v>
      </c>
      <c r="D13" t="n">
        <v>58230574</v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IsTotal</t>
        </is>
      </c>
    </row>
    <row r="2">
      <c r="A2" t="inlineStr">
        <is>
          <t>Opening Reserve</t>
        </is>
      </c>
      <c r="B2" s="3" t="n">
        <v>120000000</v>
      </c>
      <c r="C2" t="inlineStr">
        <is>
          <t>Yes</t>
        </is>
      </c>
    </row>
    <row r="3">
      <c r="A3" t="inlineStr">
        <is>
          <t>Premium Collected</t>
        </is>
      </c>
      <c r="B3" s="3" t="n">
        <v>45000000</v>
      </c>
      <c r="C3" t="inlineStr">
        <is>
          <t>No</t>
        </is>
      </c>
    </row>
    <row r="4">
      <c r="A4" t="inlineStr">
        <is>
          <t>Claims Paid</t>
        </is>
      </c>
      <c r="B4" s="3" t="n">
        <v>-28000000</v>
      </c>
      <c r="C4" t="inlineStr">
        <is>
          <t>No</t>
        </is>
      </c>
    </row>
    <row r="5">
      <c r="A5" t="inlineStr">
        <is>
          <t>Commission</t>
        </is>
      </c>
      <c r="B5" s="3" t="n">
        <v>-12000000</v>
      </c>
      <c r="C5" t="inlineStr">
        <is>
          <t>No</t>
        </is>
      </c>
    </row>
    <row r="6">
      <c r="A6" t="inlineStr">
        <is>
          <t>Expenses</t>
        </is>
      </c>
      <c r="B6" s="3" t="n">
        <v>-8000000</v>
      </c>
      <c r="C6" t="inlineStr">
        <is>
          <t>No</t>
        </is>
      </c>
    </row>
    <row r="7">
      <c r="A7" t="inlineStr">
        <is>
          <t>Closing Reserve</t>
        </is>
      </c>
      <c r="B7" s="3" t="n">
        <v>117000000</v>
      </c>
      <c r="C7" t="inlineStr">
        <is>
          <t>Yes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1" t="inlineStr">
        <is>
          <t>Date</t>
        </is>
      </c>
      <c r="B1" s="1" t="inlineStr">
        <is>
          <t>Total_APE</t>
        </is>
      </c>
    </row>
    <row r="2">
      <c r="A2" s="5" t="n">
        <v>45292</v>
      </c>
      <c r="B2" s="3" t="n">
        <v>53462353</v>
      </c>
    </row>
    <row r="3">
      <c r="A3" s="5" t="n">
        <v>45323</v>
      </c>
      <c r="B3" s="3" t="n">
        <v>44978555</v>
      </c>
    </row>
    <row r="4">
      <c r="A4" s="5" t="n">
        <v>45352</v>
      </c>
      <c r="B4" s="3" t="n">
        <v>47796320</v>
      </c>
    </row>
    <row r="5">
      <c r="A5" s="5" t="n">
        <v>45383</v>
      </c>
      <c r="B5" s="3" t="n">
        <v>54570023</v>
      </c>
    </row>
    <row r="6">
      <c r="A6" s="5" t="n">
        <v>45413</v>
      </c>
      <c r="B6" s="3" t="n">
        <v>56245406</v>
      </c>
    </row>
    <row r="7">
      <c r="A7" s="5" t="n">
        <v>45444</v>
      </c>
      <c r="B7" s="3" t="n">
        <v>32078463</v>
      </c>
    </row>
    <row r="8">
      <c r="A8" s="5" t="n">
        <v>45474</v>
      </c>
      <c r="B8" s="3" t="n">
        <v>48360590</v>
      </c>
    </row>
    <row r="9">
      <c r="A9" s="5" t="n">
        <v>45505</v>
      </c>
      <c r="B9" s="3" t="n">
        <v>53710466</v>
      </c>
    </row>
    <row r="10">
      <c r="A10" s="5" t="n">
        <v>45536</v>
      </c>
      <c r="B10" s="3" t="n">
        <v>56343305</v>
      </c>
    </row>
    <row r="11">
      <c r="A11" s="5" t="n">
        <v>45566</v>
      </c>
      <c r="B11" s="3" t="n">
        <v>57760357</v>
      </c>
    </row>
    <row r="12">
      <c r="A12" s="5" t="n">
        <v>45597</v>
      </c>
      <c r="B12" s="3" t="n">
        <v>49061494</v>
      </c>
    </row>
    <row r="13">
      <c r="A13" s="5" t="n">
        <v>45627</v>
      </c>
      <c r="B13" s="3" t="n">
        <v>45433062</v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KHI-01</t>
        </is>
      </c>
      <c r="B2" s="3" t="n">
        <v>2008998</v>
      </c>
      <c r="C2" s="3" t="n">
        <v>5975876</v>
      </c>
      <c r="D2" s="3" t="n">
        <v>4394134</v>
      </c>
      <c r="E2" s="3" t="n">
        <v>5921479</v>
      </c>
      <c r="F2" s="3" t="n">
        <v>3119030</v>
      </c>
      <c r="G2" s="3" t="n">
        <v>2252385</v>
      </c>
      <c r="H2" s="3" t="n">
        <v>4677462</v>
      </c>
      <c r="I2" s="3" t="n">
        <v>2914230</v>
      </c>
      <c r="J2" s="3" t="n">
        <v>2549219</v>
      </c>
      <c r="K2" s="3" t="n">
        <v>5946609</v>
      </c>
      <c r="L2" s="3" t="n">
        <v>5689842</v>
      </c>
      <c r="M2" s="3" t="n">
        <v>4753709</v>
      </c>
    </row>
    <row r="3">
      <c r="A3" t="inlineStr">
        <is>
          <t>KHI-02</t>
        </is>
      </c>
      <c r="B3" s="3" t="n">
        <v>2083617</v>
      </c>
      <c r="C3" s="3" t="n">
        <v>6323121</v>
      </c>
      <c r="D3" s="3" t="n">
        <v>5038203</v>
      </c>
      <c r="E3" s="3" t="n">
        <v>3730061</v>
      </c>
      <c r="F3" s="3" t="n">
        <v>3007917</v>
      </c>
      <c r="G3" s="3" t="n">
        <v>5972613</v>
      </c>
      <c r="H3" s="3" t="n">
        <v>5634161</v>
      </c>
      <c r="I3" s="3" t="n">
        <v>5139843</v>
      </c>
      <c r="J3" s="3" t="n">
        <v>3913349</v>
      </c>
      <c r="K3" s="3" t="n">
        <v>3378264</v>
      </c>
      <c r="L3" s="3" t="n">
        <v>2841011</v>
      </c>
      <c r="M3" s="3" t="n">
        <v>2712276</v>
      </c>
    </row>
    <row r="4">
      <c r="A4" t="inlineStr">
        <is>
          <t>LHR-01</t>
        </is>
      </c>
      <c r="B4" s="3" t="n">
        <v>3189623</v>
      </c>
      <c r="C4" s="3" t="n">
        <v>4207784</v>
      </c>
      <c r="D4" s="3" t="n">
        <v>2187027</v>
      </c>
      <c r="E4" s="3" t="n">
        <v>6353670</v>
      </c>
      <c r="F4" s="3" t="n">
        <v>5045032</v>
      </c>
      <c r="G4" s="3" t="n">
        <v>1849024</v>
      </c>
      <c r="H4" s="3" t="n">
        <v>3906236</v>
      </c>
      <c r="I4" s="3" t="n">
        <v>3859603</v>
      </c>
      <c r="J4" s="3" t="n">
        <v>5146562</v>
      </c>
      <c r="K4" s="3" t="n">
        <v>5289559</v>
      </c>
      <c r="L4" s="3" t="n">
        <v>6248154</v>
      </c>
      <c r="M4" s="3" t="n">
        <v>4519096</v>
      </c>
    </row>
    <row r="5">
      <c r="A5" t="inlineStr">
        <is>
          <t>LHR-02</t>
        </is>
      </c>
      <c r="B5" s="3" t="n">
        <v>5940910</v>
      </c>
      <c r="C5" s="3" t="n">
        <v>1963127</v>
      </c>
      <c r="D5" s="3" t="n">
        <v>4182608</v>
      </c>
      <c r="E5" s="3" t="n">
        <v>2777342</v>
      </c>
      <c r="F5" s="3" t="n">
        <v>2684613</v>
      </c>
      <c r="G5" s="3" t="n">
        <v>6131919</v>
      </c>
      <c r="H5" s="3" t="n">
        <v>4886360</v>
      </c>
      <c r="I5" s="3" t="n">
        <v>3705758</v>
      </c>
      <c r="J5" s="3" t="n">
        <v>4538334</v>
      </c>
      <c r="K5" s="3" t="n">
        <v>5355021</v>
      </c>
      <c r="L5" s="3" t="n">
        <v>3899939</v>
      </c>
      <c r="M5" s="3" t="n">
        <v>2853919</v>
      </c>
    </row>
    <row r="6">
      <c r="A6" t="inlineStr">
        <is>
          <t>ISL-01</t>
        </is>
      </c>
      <c r="B6" s="3" t="n">
        <v>3715650</v>
      </c>
      <c r="C6" s="3" t="n">
        <v>2406474</v>
      </c>
      <c r="D6" s="3" t="n">
        <v>5105106</v>
      </c>
      <c r="E6" s="3" t="n">
        <v>3954778</v>
      </c>
      <c r="F6" s="3" t="n">
        <v>3283027</v>
      </c>
      <c r="G6" s="3" t="n">
        <v>2825379</v>
      </c>
      <c r="H6" s="3" t="n">
        <v>5457169</v>
      </c>
      <c r="I6" s="3" t="n">
        <v>3835384</v>
      </c>
      <c r="J6" s="3" t="n">
        <v>4367877</v>
      </c>
      <c r="K6" s="3" t="n">
        <v>5138789</v>
      </c>
      <c r="L6" s="3" t="n">
        <v>2462522</v>
      </c>
      <c r="M6" s="3" t="n">
        <v>1881023</v>
      </c>
    </row>
    <row r="7">
      <c r="A7" t="inlineStr">
        <is>
          <t>ISL-02</t>
        </is>
      </c>
      <c r="B7" s="3" t="n">
        <v>6371631</v>
      </c>
      <c r="C7" s="3" t="n">
        <v>5548232</v>
      </c>
      <c r="D7" s="3" t="n">
        <v>4479312</v>
      </c>
      <c r="E7" s="3" t="n">
        <v>6171182</v>
      </c>
      <c r="F7" s="3" t="n">
        <v>5108695</v>
      </c>
      <c r="G7" s="3" t="n">
        <v>2002507</v>
      </c>
      <c r="H7" s="3" t="n">
        <v>5536410</v>
      </c>
      <c r="I7" s="3" t="n">
        <v>6305512</v>
      </c>
      <c r="J7" s="3" t="n">
        <v>5294505</v>
      </c>
      <c r="K7" s="3" t="n">
        <v>3786426</v>
      </c>
      <c r="L7" s="3" t="n">
        <v>6352325</v>
      </c>
      <c r="M7" s="3" t="n">
        <v>2514713</v>
      </c>
    </row>
    <row r="8">
      <c r="A8" t="inlineStr">
        <is>
          <t>MTN-01</t>
        </is>
      </c>
      <c r="B8" s="3" t="n">
        <v>3196670</v>
      </c>
      <c r="C8" s="3" t="n">
        <v>4175838</v>
      </c>
      <c r="D8" s="3" t="n">
        <v>2096801</v>
      </c>
      <c r="E8" s="3" t="n">
        <v>4487261</v>
      </c>
      <c r="F8" s="3" t="n">
        <v>5826152</v>
      </c>
      <c r="G8" s="3" t="n">
        <v>3085120</v>
      </c>
      <c r="H8" s="3" t="n">
        <v>5034712</v>
      </c>
      <c r="I8" s="3" t="n">
        <v>6423725</v>
      </c>
      <c r="J8" s="3" t="n">
        <v>2970676</v>
      </c>
      <c r="K8" s="3" t="n">
        <v>4058035</v>
      </c>
      <c r="L8" s="3" t="n">
        <v>6067683</v>
      </c>
      <c r="M8" s="3" t="n">
        <v>3787872</v>
      </c>
    </row>
    <row r="9">
      <c r="A9" t="inlineStr">
        <is>
          <t>GRW-01</t>
        </is>
      </c>
      <c r="B9" s="3" t="n">
        <v>5763002</v>
      </c>
      <c r="C9" s="3" t="n">
        <v>4602489</v>
      </c>
      <c r="D9" s="3" t="n">
        <v>2533136</v>
      </c>
      <c r="E9" s="3" t="n">
        <v>5136125</v>
      </c>
      <c r="F9" s="3" t="n">
        <v>2237856</v>
      </c>
      <c r="G9" s="3" t="n">
        <v>5109117</v>
      </c>
      <c r="H9" s="3" t="n">
        <v>2351861</v>
      </c>
      <c r="I9" s="3" t="n">
        <v>4201926</v>
      </c>
      <c r="J9" s="3" t="n">
        <v>2188441</v>
      </c>
      <c r="K9" s="3" t="n">
        <v>3580610</v>
      </c>
      <c r="L9" s="3" t="n">
        <v>4549129</v>
      </c>
      <c r="M9" s="3" t="n">
        <v>2486987</v>
      </c>
    </row>
    <row r="10">
      <c r="A10" t="inlineStr">
        <is>
          <t>QTA-01</t>
        </is>
      </c>
      <c r="B10" s="3" t="n">
        <v>4740461</v>
      </c>
      <c r="C10" s="3" t="n">
        <v>5581394</v>
      </c>
      <c r="D10" s="3" t="n">
        <v>3660807</v>
      </c>
      <c r="E10" s="3" t="n">
        <v>2116093</v>
      </c>
      <c r="F10" s="3" t="n">
        <v>1807604</v>
      </c>
      <c r="G10" s="3" t="n">
        <v>5773735</v>
      </c>
      <c r="H10" s="3" t="n">
        <v>4254037</v>
      </c>
      <c r="I10" s="3" t="n">
        <v>5254727</v>
      </c>
      <c r="J10" s="3" t="n">
        <v>4849403</v>
      </c>
      <c r="K10" s="3" t="n">
        <v>2913418</v>
      </c>
      <c r="L10" s="3" t="n">
        <v>4138106</v>
      </c>
      <c r="M10" s="3" t="n">
        <v>6164590</v>
      </c>
    </row>
    <row r="11">
      <c r="A11" t="inlineStr">
        <is>
          <t>PES-01</t>
        </is>
      </c>
      <c r="B11" s="3" t="n">
        <v>3745723</v>
      </c>
      <c r="C11" s="3" t="n">
        <v>4310210</v>
      </c>
      <c r="D11" s="3" t="n">
        <v>6339746</v>
      </c>
      <c r="E11" s="3" t="n">
        <v>3411342</v>
      </c>
      <c r="F11" s="3" t="n">
        <v>2516465</v>
      </c>
      <c r="G11" s="3" t="n">
        <v>2479443</v>
      </c>
      <c r="H11" s="3" t="n">
        <v>4396182</v>
      </c>
      <c r="I11" s="3" t="n">
        <v>4909697</v>
      </c>
      <c r="J11" s="3" t="n">
        <v>1939390</v>
      </c>
      <c r="K11" s="3" t="n">
        <v>5161178</v>
      </c>
      <c r="L11" s="3" t="n">
        <v>4398190</v>
      </c>
      <c r="M11" s="3" t="n">
        <v>4444006</v>
      </c>
    </row>
    <row r="12">
      <c r="A12" t="inlineStr">
        <is>
          <t>BWP-01</t>
        </is>
      </c>
      <c r="B12" s="3" t="n">
        <v>3757532</v>
      </c>
      <c r="C12" s="3" t="n">
        <v>3586968</v>
      </c>
      <c r="D12" s="3" t="n">
        <v>4312604</v>
      </c>
      <c r="E12" s="3" t="n">
        <v>4549555</v>
      </c>
      <c r="F12" s="3" t="n">
        <v>5219324</v>
      </c>
      <c r="G12" s="3" t="n">
        <v>3077078</v>
      </c>
      <c r="H12" s="3" t="n">
        <v>4115406</v>
      </c>
      <c r="I12" s="3" t="n">
        <v>1907538</v>
      </c>
      <c r="J12" s="3" t="n">
        <v>2662481</v>
      </c>
      <c r="K12" s="3" t="n">
        <v>3691248</v>
      </c>
      <c r="L12" s="3" t="n">
        <v>6137073</v>
      </c>
      <c r="M12" s="3" t="n">
        <v>4648838</v>
      </c>
    </row>
    <row r="13">
      <c r="A13" t="inlineStr">
        <is>
          <t>GJR-01</t>
        </is>
      </c>
      <c r="B13" s="3" t="n">
        <v>6492303</v>
      </c>
      <c r="C13" s="3" t="n">
        <v>5433596</v>
      </c>
      <c r="D13" s="3" t="n">
        <v>4003884</v>
      </c>
      <c r="E13" s="3" t="n">
        <v>5325213</v>
      </c>
      <c r="F13" s="3" t="n">
        <v>6227248</v>
      </c>
      <c r="G13" s="3" t="n">
        <v>4200801</v>
      </c>
      <c r="H13" s="3" t="n">
        <v>6169714</v>
      </c>
      <c r="I13" s="3" t="n">
        <v>1908132</v>
      </c>
      <c r="J13" s="3" t="n">
        <v>6058298</v>
      </c>
      <c r="K13" s="3" t="n">
        <v>4809456</v>
      </c>
      <c r="L13" s="3" t="n">
        <v>2949745</v>
      </c>
      <c r="M13" s="3" t="n">
        <v>3093364</v>
      </c>
    </row>
  </sheetData>
  <autoFilter ref="A1:M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1" customWidth="1" min="4" max="4"/>
  </cols>
  <sheetData>
    <row r="1">
      <c r="A1" s="1" t="inlineStr">
        <is>
          <t>Branch</t>
        </is>
      </c>
      <c r="B1" s="1" t="inlineStr">
        <is>
          <t>APE_Total</t>
        </is>
      </c>
      <c r="C1" s="1" t="inlineStr">
        <is>
          <t>NOP</t>
        </is>
      </c>
      <c r="D1" s="1" t="inlineStr">
        <is>
          <t>Premium_With_Errors</t>
        </is>
      </c>
    </row>
    <row r="2">
      <c r="A2" t="inlineStr">
        <is>
          <t>KHI-01</t>
        </is>
      </c>
      <c r="B2" s="3" t="n">
        <v>66502342</v>
      </c>
      <c r="C2" t="n">
        <v>384</v>
      </c>
      <c r="D2" t="n">
        <v>66502342</v>
      </c>
    </row>
    <row r="3">
      <c r="A3" t="inlineStr">
        <is>
          <t>KHI-02</t>
        </is>
      </c>
      <c r="B3" s="3" t="n">
        <v>50218929</v>
      </c>
      <c r="C3" t="n">
        <v>563</v>
      </c>
      <c r="D3" t="n">
        <v>50218929</v>
      </c>
    </row>
    <row r="4">
      <c r="A4" t="inlineStr">
        <is>
          <t>LHR-01</t>
        </is>
      </c>
      <c r="B4" s="3" t="n">
        <v>62266852</v>
      </c>
      <c r="C4" t="n">
        <v>450</v>
      </c>
      <c r="D4" t="n">
        <v>62266852</v>
      </c>
    </row>
    <row r="5">
      <c r="A5" t="inlineStr">
        <is>
          <t>LHR-02</t>
        </is>
      </c>
      <c r="B5" s="3" t="n">
        <v>42720603</v>
      </c>
      <c r="C5" t="n">
        <v>372</v>
      </c>
      <c r="D5" t="n">
        <v>42720603</v>
      </c>
    </row>
    <row r="6">
      <c r="A6" t="inlineStr">
        <is>
          <t>ISL-01</t>
        </is>
      </c>
      <c r="B6" s="3" t="n">
        <v>45040408</v>
      </c>
      <c r="C6" t="n">
        <v>511</v>
      </c>
      <c r="D6" t="n">
        <v>45040408</v>
      </c>
    </row>
    <row r="7">
      <c r="A7" t="inlineStr">
        <is>
          <t>ISL-02</t>
        </is>
      </c>
      <c r="B7" s="3" t="n">
        <v>41087598</v>
      </c>
      <c r="C7" t="n">
        <v>559</v>
      </c>
      <c r="D7" t="n">
        <v>41087598</v>
      </c>
    </row>
    <row r="8">
      <c r="A8" t="inlineStr">
        <is>
          <t>MTN-01</t>
        </is>
      </c>
      <c r="B8" s="3" t="n">
        <v>41091276</v>
      </c>
      <c r="C8" t="n">
        <v>460</v>
      </c>
      <c r="D8" t="n">
        <v>41091276</v>
      </c>
    </row>
    <row r="9">
      <c r="A9" t="inlineStr">
        <is>
          <t>GRW-01</t>
        </is>
      </c>
      <c r="B9" s="3" t="n">
        <v>52212265</v>
      </c>
      <c r="C9" t="n">
        <v>468</v>
      </c>
      <c r="D9" t="n">
        <v>52212265</v>
      </c>
    </row>
    <row r="10">
      <c r="A10" t="inlineStr">
        <is>
          <t>QTA-01</t>
        </is>
      </c>
      <c r="B10" s="3" t="n">
        <v>35638108</v>
      </c>
      <c r="C10" t="n">
        <v>349</v>
      </c>
      <c r="D10" t="n">
        <v>35638108</v>
      </c>
    </row>
    <row r="11">
      <c r="A11" t="inlineStr">
        <is>
          <t>PES-01</t>
        </is>
      </c>
      <c r="B11" s="3" t="n">
        <v>48520417</v>
      </c>
      <c r="C11" t="n">
        <v>316</v>
      </c>
      <c r="D11" t="n">
        <v>48520417</v>
      </c>
    </row>
    <row r="12">
      <c r="A12" t="inlineStr">
        <is>
          <t>BWP-01</t>
        </is>
      </c>
      <c r="B12" s="3" t="n">
        <v>55246283</v>
      </c>
      <c r="C12" t="n">
        <v>567</v>
      </c>
      <c r="D12" t="n">
        <v>55246283</v>
      </c>
    </row>
    <row r="13">
      <c r="A13" t="inlineStr">
        <is>
          <t>GJR-01</t>
        </is>
      </c>
      <c r="B13" s="3" t="n">
        <v>48303299</v>
      </c>
      <c r="C13" t="n">
        <v>326</v>
      </c>
      <c r="D13" t="n">
        <v>48303299</v>
      </c>
    </row>
    <row r="14">
      <c r="A14" t="inlineStr">
        <is>
          <t>ERR-0</t>
        </is>
      </c>
      <c r="B14" s="3" t="e">
        <v>#DIV/0!</v>
      </c>
      <c r="C14" t="n">
        <v>0</v>
      </c>
      <c r="D14" t="e">
        <v>#N/A</v>
      </c>
    </row>
    <row r="15">
      <c r="A15" t="inlineStr">
        <is>
          <t>ERR-1</t>
        </is>
      </c>
      <c r="B15" s="3" t="e">
        <v>#DIV/0!</v>
      </c>
      <c r="C15" t="n">
        <v>0</v>
      </c>
      <c r="D15" t="e">
        <v>#N/A</v>
      </c>
    </row>
    <row r="16">
      <c r="A16" t="inlineStr">
        <is>
          <t>ERR-2</t>
        </is>
      </c>
      <c r="B16" s="3" t="e">
        <v>#DIV/0!</v>
      </c>
      <c r="C16" t="n">
        <v>0</v>
      </c>
      <c r="D16" t="e">
        <v>#N/A</v>
      </c>
    </row>
    <row r="17">
      <c r="A17" t="inlineStr">
        <is>
          <t>ERR-3</t>
        </is>
      </c>
      <c r="B17" s="3" t="e">
        <v>#DIV/0!</v>
      </c>
      <c r="C17" t="n">
        <v>0</v>
      </c>
      <c r="D17" t="e">
        <v>#N/A</v>
      </c>
    </row>
    <row r="18">
      <c r="A18" t="inlineStr">
        <is>
          <t>ERR-4</t>
        </is>
      </c>
      <c r="B18" s="3" t="e">
        <v>#DIV/0!</v>
      </c>
      <c r="C18" t="n">
        <v>0</v>
      </c>
      <c r="D18" t="e">
        <v>#N/A</v>
      </c>
    </row>
  </sheetData>
  <autoFilter ref="A1:D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</cols>
  <sheetData>
    <row r="1">
      <c r="A1" s="1" t="inlineStr">
        <is>
          <t>Premium</t>
        </is>
      </c>
      <c r="B1" s="1" t="inlineStr">
        <is>
          <t>DiscountFactor</t>
        </is>
      </c>
      <c r="C1" s="1" t="inlineStr">
        <is>
          <t>Discounted</t>
        </is>
      </c>
    </row>
    <row r="2">
      <c r="A2" s="3" t="n">
        <v>37238</v>
      </c>
      <c r="B2" s="6" t="n">
        <v>0.96</v>
      </c>
      <c r="C2" s="3" t="n">
        <v>35748.48</v>
      </c>
    </row>
    <row r="3">
      <c r="A3" s="3" t="n">
        <v>32462</v>
      </c>
      <c r="B3" s="6" t="n">
        <v>0.91</v>
      </c>
      <c r="C3" s="3" t="n">
        <v>29540.42</v>
      </c>
    </row>
    <row r="4">
      <c r="A4" s="3" t="n">
        <v>343230</v>
      </c>
      <c r="B4" s="6" t="n">
        <v>0.89</v>
      </c>
      <c r="C4" s="3" t="n">
        <v>305474.7</v>
      </c>
    </row>
    <row r="5">
      <c r="A5" s="3" t="n">
        <v>395653</v>
      </c>
      <c r="B5" s="6" t="n">
        <v>0.99</v>
      </c>
      <c r="C5" s="3" t="n">
        <v>391696.47</v>
      </c>
    </row>
    <row r="6">
      <c r="A6" s="3" t="n">
        <v>80148</v>
      </c>
      <c r="B6" s="6" t="n">
        <v>0.9399999999999999</v>
      </c>
      <c r="C6" s="3" t="n">
        <v>75339.12</v>
      </c>
    </row>
    <row r="7">
      <c r="A7" s="3" t="n">
        <v>66928</v>
      </c>
      <c r="B7" s="6" t="n">
        <v>0.99</v>
      </c>
      <c r="C7" s="3" t="n">
        <v>66258.72</v>
      </c>
    </row>
    <row r="8">
      <c r="A8" s="3" t="n">
        <v>109073</v>
      </c>
      <c r="B8" s="6" t="n">
        <v>0.86</v>
      </c>
      <c r="C8" s="3" t="n">
        <v>93802.78</v>
      </c>
    </row>
    <row r="9">
      <c r="A9" s="3" t="n">
        <v>378031</v>
      </c>
      <c r="B9" s="6" t="n">
        <v>1</v>
      </c>
      <c r="C9" s="3" t="n">
        <v>378031</v>
      </c>
    </row>
    <row r="10">
      <c r="A10" s="3" t="n">
        <v>65080</v>
      </c>
      <c r="B10" s="6" t="n">
        <v>0.96</v>
      </c>
      <c r="C10" s="3" t="n">
        <v>62476.8</v>
      </c>
    </row>
    <row r="11">
      <c r="A11" s="3" t="n">
        <v>476308</v>
      </c>
      <c r="B11" s="6" t="n">
        <v>0.92</v>
      </c>
      <c r="C11" s="3" t="n">
        <v>438203.36</v>
      </c>
    </row>
    <row r="12">
      <c r="A12" s="3" t="n">
        <v>419525</v>
      </c>
      <c r="B12" s="6" t="n">
        <v>0.98</v>
      </c>
      <c r="C12" s="3" t="n">
        <v>411134.5</v>
      </c>
    </row>
    <row r="13">
      <c r="A13" s="3" t="n">
        <v>464591</v>
      </c>
      <c r="B13" s="6" t="n">
        <v>0.93</v>
      </c>
      <c r="C13" s="3" t="n">
        <v>432069.63</v>
      </c>
    </row>
    <row r="14">
      <c r="A14" s="3" t="n">
        <v>486473</v>
      </c>
      <c r="B14" s="6" t="n">
        <v>0.95</v>
      </c>
      <c r="C14" s="3" t="n">
        <v>462149.35</v>
      </c>
    </row>
    <row r="15">
      <c r="A15" s="3" t="n">
        <v>415604</v>
      </c>
      <c r="B15" s="6" t="n">
        <v>0.9</v>
      </c>
      <c r="C15" s="3" t="n">
        <v>374043.6</v>
      </c>
    </row>
    <row r="16">
      <c r="A16" s="3" t="n">
        <v>417412</v>
      </c>
      <c r="B16" s="6" t="n">
        <v>0.91</v>
      </c>
      <c r="C16" s="3" t="n">
        <v>379844.92</v>
      </c>
    </row>
    <row r="17">
      <c r="A17" s="3" t="n">
        <v>90760</v>
      </c>
      <c r="B17" s="6" t="n">
        <v>0.98</v>
      </c>
      <c r="C17" s="3" t="n">
        <v>88944.8</v>
      </c>
    </row>
    <row r="18">
      <c r="A18" s="3" t="n">
        <v>401040</v>
      </c>
      <c r="B18" s="6" t="n">
        <v>0.9399999999999999</v>
      </c>
      <c r="C18" s="3" t="n">
        <v>376977.6</v>
      </c>
    </row>
    <row r="19">
      <c r="A19" s="3" t="n">
        <v>32704</v>
      </c>
      <c r="B19" s="6" t="n">
        <v>0.95</v>
      </c>
      <c r="C19" s="3" t="n">
        <v>31068.8</v>
      </c>
    </row>
    <row r="20">
      <c r="A20" s="3" t="n">
        <v>416369</v>
      </c>
      <c r="B20" s="6" t="n">
        <v>0.88</v>
      </c>
      <c r="C20" s="3" t="n">
        <v>366404.72</v>
      </c>
    </row>
    <row r="21">
      <c r="A21" s="3" t="n">
        <v>373579</v>
      </c>
      <c r="B21" s="6" t="n">
        <v>0.97</v>
      </c>
      <c r="C21" s="3" t="n">
        <v>362371.63</v>
      </c>
    </row>
    <row r="22">
      <c r="A22" s="3" t="n">
        <v>384553</v>
      </c>
      <c r="B22" s="6" t="n">
        <v>0.95</v>
      </c>
      <c r="C22" s="3" t="n">
        <v>365325.35</v>
      </c>
    </row>
    <row r="23">
      <c r="A23" s="3" t="n">
        <v>35040</v>
      </c>
      <c r="B23" s="6" t="n">
        <v>0.96</v>
      </c>
      <c r="C23" s="3" t="n">
        <v>33638.4</v>
      </c>
    </row>
    <row r="24">
      <c r="A24" s="3" t="n">
        <v>351974</v>
      </c>
      <c r="B24" s="6" t="n">
        <v>0.92</v>
      </c>
      <c r="C24" s="3" t="n">
        <v>323816.08</v>
      </c>
    </row>
    <row r="25">
      <c r="A25" s="3" t="n">
        <v>474052</v>
      </c>
      <c r="B25" s="6" t="n">
        <v>0.97</v>
      </c>
      <c r="C25" s="3" t="n">
        <v>459830.44</v>
      </c>
    </row>
    <row r="26">
      <c r="A26" s="3" t="n">
        <v>49901</v>
      </c>
      <c r="B26" s="6" t="n">
        <v>0.99</v>
      </c>
      <c r="C26" s="3" t="n">
        <v>49401.99</v>
      </c>
    </row>
    <row r="27">
      <c r="A27" s="3" t="n">
        <v>350664</v>
      </c>
      <c r="B27" s="6" t="n">
        <v>0.87</v>
      </c>
      <c r="C27" s="3" t="n">
        <v>305077.68</v>
      </c>
    </row>
    <row r="28">
      <c r="A28" s="3" t="n">
        <v>79438</v>
      </c>
      <c r="B28" s="6" t="n">
        <v>0.85</v>
      </c>
      <c r="C28" s="3" t="n">
        <v>67522.3</v>
      </c>
    </row>
    <row r="29">
      <c r="A29" s="3" t="n">
        <v>486865</v>
      </c>
      <c r="B29" s="6" t="n">
        <v>0.99</v>
      </c>
      <c r="C29" s="3" t="n">
        <v>481996.35</v>
      </c>
    </row>
    <row r="30">
      <c r="A30" s="3" t="n">
        <v>202319</v>
      </c>
      <c r="B30" s="6" t="n">
        <v>0.91</v>
      </c>
      <c r="C30" s="3" t="n">
        <v>184110.29</v>
      </c>
    </row>
    <row r="31">
      <c r="A31" s="3" t="n">
        <v>374072</v>
      </c>
      <c r="B31" s="6" t="n">
        <v>0.87</v>
      </c>
      <c r="C31" s="3" t="n">
        <v>325442.64</v>
      </c>
    </row>
    <row r="32">
      <c r="A32" s="3" t="n">
        <v>342828</v>
      </c>
      <c r="B32" s="6" t="n">
        <v>0.95</v>
      </c>
      <c r="C32" s="3" t="n">
        <v>325686.6</v>
      </c>
    </row>
    <row r="33">
      <c r="A33" s="3" t="n">
        <v>325140</v>
      </c>
      <c r="B33" s="6" t="n">
        <v>0.9399999999999999</v>
      </c>
      <c r="C33" s="3" t="n">
        <v>305631.6</v>
      </c>
    </row>
    <row r="34">
      <c r="A34" s="3" t="n">
        <v>393899</v>
      </c>
      <c r="B34" s="6" t="n">
        <v>0.9</v>
      </c>
      <c r="C34" s="3" t="n">
        <v>354509.1</v>
      </c>
    </row>
    <row r="35">
      <c r="A35" s="3" t="n">
        <v>117112</v>
      </c>
      <c r="B35" s="6" t="n">
        <v>0.9</v>
      </c>
      <c r="C35" s="3" t="n">
        <v>105400.8</v>
      </c>
    </row>
    <row r="36">
      <c r="A36" s="3" t="n">
        <v>161440</v>
      </c>
      <c r="B36" s="6" t="n">
        <v>0.92</v>
      </c>
      <c r="C36" s="3" t="n">
        <v>148524.8</v>
      </c>
    </row>
    <row r="37">
      <c r="A37" s="3" t="n">
        <v>61990</v>
      </c>
      <c r="B37" s="6" t="n">
        <v>0.92</v>
      </c>
      <c r="C37" s="3" t="n">
        <v>57030.8</v>
      </c>
    </row>
    <row r="38">
      <c r="A38" s="3" t="n">
        <v>313472</v>
      </c>
      <c r="B38" s="6" t="n">
        <v>0.88</v>
      </c>
      <c r="C38" s="3" t="n">
        <v>275855.36</v>
      </c>
    </row>
    <row r="39">
      <c r="A39" s="3" t="n">
        <v>355940</v>
      </c>
      <c r="B39" s="6" t="n">
        <v>0.99</v>
      </c>
      <c r="C39" s="3" t="n">
        <v>352380.6</v>
      </c>
    </row>
    <row r="40">
      <c r="A40" s="3" t="n">
        <v>340482</v>
      </c>
      <c r="B40" s="6" t="n">
        <v>0.97</v>
      </c>
      <c r="C40" s="3" t="n">
        <v>330267.54</v>
      </c>
    </row>
    <row r="41">
      <c r="A41" s="3" t="n">
        <v>181864</v>
      </c>
      <c r="B41" s="6" t="n">
        <v>0.89</v>
      </c>
      <c r="C41" s="3" t="n">
        <v>161858.96</v>
      </c>
    </row>
    <row r="42">
      <c r="A42" s="3" t="n">
        <v>96946</v>
      </c>
      <c r="B42" s="6" t="n">
        <v>0.95</v>
      </c>
      <c r="C42" s="3" t="n">
        <v>92098.7</v>
      </c>
    </row>
    <row r="43">
      <c r="A43" s="3" t="n">
        <v>81618</v>
      </c>
      <c r="B43" s="6" t="n">
        <v>0.99</v>
      </c>
      <c r="C43" s="3" t="n">
        <v>80801.81999999999</v>
      </c>
    </row>
    <row r="44">
      <c r="A44" s="3" t="n">
        <v>395833</v>
      </c>
      <c r="B44" s="6" t="n">
        <v>0.99</v>
      </c>
      <c r="C44" s="3" t="n">
        <v>391874.67</v>
      </c>
    </row>
    <row r="45">
      <c r="A45" s="3" t="n">
        <v>479573</v>
      </c>
      <c r="B45" s="6" t="n">
        <v>0.87</v>
      </c>
      <c r="C45" s="3" t="n">
        <v>417228.51</v>
      </c>
    </row>
    <row r="46">
      <c r="A46" s="3" t="n">
        <v>318516</v>
      </c>
      <c r="B46" s="6" t="n">
        <v>1</v>
      </c>
      <c r="C46" s="3" t="n">
        <v>318516</v>
      </c>
    </row>
    <row r="47">
      <c r="A47" s="3" t="n">
        <v>359081</v>
      </c>
      <c r="B47" s="6" t="n">
        <v>0.97</v>
      </c>
      <c r="C47" s="3" t="n">
        <v>348308.57</v>
      </c>
    </row>
    <row r="48">
      <c r="A48" s="3" t="n">
        <v>397092</v>
      </c>
      <c r="B48" s="6" t="n">
        <v>0.98</v>
      </c>
      <c r="C48" s="3" t="n">
        <v>389150.16</v>
      </c>
    </row>
    <row r="49">
      <c r="A49" s="3" t="n">
        <v>32847</v>
      </c>
      <c r="B49" s="6" t="n">
        <v>0.9399999999999999</v>
      </c>
      <c r="C49" s="3" t="n">
        <v>30876.18</v>
      </c>
    </row>
    <row r="50">
      <c r="A50" s="3" t="n">
        <v>37198</v>
      </c>
      <c r="B50" s="6" t="n">
        <v>0.92</v>
      </c>
      <c r="C50" s="3" t="n">
        <v>34222.16</v>
      </c>
    </row>
    <row r="51">
      <c r="A51" s="3" t="n">
        <v>84673</v>
      </c>
      <c r="B51" s="6" t="n">
        <v>0.9399999999999999</v>
      </c>
      <c r="C51" s="3" t="n">
        <v>79592.62</v>
      </c>
    </row>
  </sheetData>
  <autoFilter ref="A1:C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BranchCode</t>
        </is>
      </c>
      <c r="B1" s="1" t="inlineStr">
        <is>
          <t>Actual_APE</t>
        </is>
      </c>
      <c r="C1" s="1" t="inlineStr">
        <is>
          <t>Actual_NOP</t>
        </is>
      </c>
    </row>
    <row r="2">
      <c r="A2" t="inlineStr">
        <is>
          <t>KHI-01</t>
        </is>
      </c>
      <c r="B2" s="3" t="n">
        <v>2886836</v>
      </c>
      <c r="C2" t="n">
        <v>20</v>
      </c>
    </row>
    <row r="3">
      <c r="A3" t="inlineStr">
        <is>
          <t>KHI-02</t>
        </is>
      </c>
      <c r="B3" s="3" t="n">
        <v>3540702</v>
      </c>
      <c r="C3" t="n">
        <v>60</v>
      </c>
    </row>
    <row r="4">
      <c r="A4" t="inlineStr">
        <is>
          <t>LHR-01</t>
        </is>
      </c>
      <c r="B4" s="3" t="n">
        <v>5968650</v>
      </c>
      <c r="C4" t="n">
        <v>54</v>
      </c>
    </row>
    <row r="5">
      <c r="A5" t="inlineStr">
        <is>
          <t>LHR-02</t>
        </is>
      </c>
      <c r="B5" s="3" t="n">
        <v>3271188</v>
      </c>
      <c r="C5" t="n">
        <v>48</v>
      </c>
    </row>
    <row r="6">
      <c r="A6" t="inlineStr">
        <is>
          <t>ISL-01</t>
        </is>
      </c>
      <c r="B6" s="3" t="n">
        <v>2352330</v>
      </c>
      <c r="C6" t="n">
        <v>45</v>
      </c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" t="inlineStr">
        <is>
          <t>Cohort</t>
        </is>
      </c>
      <c r="B1" s="1" t="inlineStr">
        <is>
          <t>Count_Persisting</t>
        </is>
      </c>
      <c r="C1" s="1" t="inlineStr">
        <is>
          <t>Persistency_Rate</t>
        </is>
      </c>
    </row>
    <row r="2">
      <c r="A2" t="inlineStr">
        <is>
          <t>M13</t>
        </is>
      </c>
      <c r="B2" t="n">
        <v>820</v>
      </c>
      <c r="C2" s="7" t="n">
        <v>0.82</v>
      </c>
    </row>
    <row r="3">
      <c r="A3" t="inlineStr">
        <is>
          <t>M25</t>
        </is>
      </c>
      <c r="B3" t="n">
        <v>640</v>
      </c>
      <c r="C3" s="7" t="n">
        <v>0.71</v>
      </c>
    </row>
    <row r="4">
      <c r="A4" t="inlineStr">
        <is>
          <t>M37</t>
        </is>
      </c>
      <c r="B4" t="n">
        <v>580</v>
      </c>
      <c r="C4" s="7" t="n">
        <v>0.65</v>
      </c>
    </row>
    <row r="5">
      <c r="A5" t="inlineStr">
        <is>
          <t>M61</t>
        </is>
      </c>
      <c r="B5" t="n">
        <v>420</v>
      </c>
      <c r="C5" s="7" t="n">
        <v>0.58</v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Month</t>
        </is>
      </c>
      <c r="B1" s="1" t="inlineStr">
        <is>
          <t>ClaimCount</t>
        </is>
      </c>
    </row>
    <row r="2">
      <c r="A2" t="inlineStr">
        <is>
          <t>Jan</t>
        </is>
      </c>
      <c r="B2" t="n">
        <v>35</v>
      </c>
    </row>
    <row r="3">
      <c r="A3" t="inlineStr">
        <is>
          <t>Feb</t>
        </is>
      </c>
      <c r="B3" t="n">
        <v>39</v>
      </c>
    </row>
    <row r="4">
      <c r="A4" t="inlineStr">
        <is>
          <t>Mar</t>
        </is>
      </c>
      <c r="B4" t="n">
        <v>38</v>
      </c>
    </row>
    <row r="5">
      <c r="A5" t="inlineStr">
        <is>
          <t>Apr</t>
        </is>
      </c>
      <c r="B5" t="n">
        <v>29</v>
      </c>
    </row>
    <row r="6">
      <c r="A6" t="inlineStr">
        <is>
          <t>May</t>
        </is>
      </c>
      <c r="B6" t="n">
        <v>42</v>
      </c>
    </row>
    <row r="7">
      <c r="A7" t="inlineStr">
        <is>
          <t>Jun</t>
        </is>
      </c>
      <c r="B7" t="n">
        <v>28</v>
      </c>
    </row>
    <row r="8">
      <c r="A8" t="inlineStr">
        <is>
          <t>Jul</t>
        </is>
      </c>
      <c r="B8" t="n">
        <v>36</v>
      </c>
    </row>
    <row r="9">
      <c r="A9" t="inlineStr">
        <is>
          <t>Aug</t>
        </is>
      </c>
      <c r="B9" t="n">
        <v>46</v>
      </c>
    </row>
    <row r="10">
      <c r="A10" t="inlineStr">
        <is>
          <t>Sep</t>
        </is>
      </c>
      <c r="B10" t="n">
        <v>28</v>
      </c>
    </row>
    <row r="11">
      <c r="A11" t="inlineStr">
        <is>
          <t>Oct</t>
        </is>
      </c>
      <c r="B11" t="n">
        <v>31</v>
      </c>
    </row>
    <row r="12">
      <c r="A12" t="inlineStr">
        <is>
          <t>Nov</t>
        </is>
      </c>
      <c r="B12" t="n">
        <v>41</v>
      </c>
    </row>
    <row r="13">
      <c r="A13" t="inlineStr">
        <is>
          <t>Dec</t>
        </is>
      </c>
      <c r="B13" t="n">
        <v>24</v>
      </c>
    </row>
  </sheetData>
  <autoFilter ref="A1:B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22" customWidth="1" min="4" max="4"/>
    <col width="10" customWidth="1" min="5" max="5"/>
  </cols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Value</t>
        </is>
      </c>
      <c r="D1" s="1" t="inlineStr">
        <is>
          <t>Formula</t>
        </is>
      </c>
      <c r="E1" s="1" t="inlineStr">
        <is>
          <t>Result</t>
        </is>
      </c>
    </row>
    <row r="2">
      <c r="A2" t="inlineStr">
        <is>
          <t>GoalSeek_Basic</t>
        </is>
      </c>
      <c r="B2" t="inlineStr">
        <is>
          <t>NOP</t>
        </is>
      </c>
      <c r="C2" t="n">
        <v>350</v>
      </c>
      <c r="D2">
        <f>B2*C2</f>
        <v/>
      </c>
      <c r="E2">
        <f>B2*C2</f>
        <v/>
      </c>
    </row>
    <row r="3">
      <c r="A3" t="inlineStr"/>
      <c r="B3" t="inlineStr">
        <is>
          <t>AvgPremium</t>
        </is>
      </c>
      <c r="C3" t="n">
        <v>120000</v>
      </c>
      <c r="D3" t="inlineStr"/>
      <c r="E3" t="inlineStr"/>
    </row>
    <row r="4">
      <c r="A4" t="inlineStr"/>
      <c r="B4" t="inlineStr">
        <is>
          <t>TotalAPE</t>
        </is>
      </c>
      <c r="C4">
        <f>B2*B3</f>
        <v/>
      </c>
      <c r="D4" t="inlineStr"/>
      <c r="E4" t="inlineStr"/>
    </row>
    <row r="5">
      <c r="A5" t="inlineStr">
        <is>
          <t>Lapse_Cost</t>
        </is>
      </c>
      <c r="B5" t="inlineStr">
        <is>
          <t>Recovered</t>
        </is>
      </c>
      <c r="C5" t="n">
        <v>0</v>
      </c>
      <c r="D5" t="inlineStr">
        <is>
          <t>NewLapsed=1200-Recovered</t>
        </is>
      </c>
      <c r="E5" t="inlineStr"/>
    </row>
    <row r="6">
      <c r="A6" t="inlineStr"/>
      <c r="B6" t="inlineStr">
        <is>
          <t>InitialLapsed</t>
        </is>
      </c>
      <c r="C6" t="n">
        <v>1200</v>
      </c>
      <c r="D6" t="inlineStr">
        <is>
          <t>Cost=NewLapsed*80000*0.3</t>
        </is>
      </c>
      <c r="E6" t="inlineStr"/>
    </row>
    <row r="7">
      <c r="A7" t="inlineStr"/>
      <c r="B7" t="inlineStr">
        <is>
          <t>AvgAPE</t>
        </is>
      </c>
      <c r="C7" t="n">
        <v>80000</v>
      </c>
      <c r="D7" t="inlineStr"/>
      <c r="E7" t="inlineStr"/>
    </row>
    <row r="8">
      <c r="A8" t="inlineStr"/>
      <c r="B8" t="inlineStr">
        <is>
          <t>NewLapsed</t>
        </is>
      </c>
      <c r="C8">
        <f>B5-B4</f>
        <v/>
      </c>
      <c r="D8" t="inlineStr"/>
      <c r="E8" t="inlineStr"/>
    </row>
    <row r="9">
      <c r="A9" t="inlineStr"/>
      <c r="B9" t="inlineStr">
        <is>
          <t>Cost</t>
        </is>
      </c>
      <c r="C9">
        <f>B8*B6*0.3</f>
        <v/>
      </c>
      <c r="D9" t="inlineStr"/>
      <c r="E9" t="inlineStr"/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